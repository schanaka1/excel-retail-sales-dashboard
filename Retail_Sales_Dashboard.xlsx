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E:\data analyas\project\excel\sale\"/>
    </mc:Choice>
  </mc:AlternateContent>
  <xr:revisionPtr revIDLastSave="0" documentId="13_ncr:1_{822CE207-74FA-437A-A05F-FD7DC7CD0169}" xr6:coauthVersionLast="47" xr6:coauthVersionMax="47" xr10:uidLastSave="{00000000-0000-0000-0000-000000000000}"/>
  <bookViews>
    <workbookView xWindow="-108" yWindow="-108" windowWidth="23256" windowHeight="12456" activeTab="1" xr2:uid="{00000000-000D-0000-FFFF-FFFF00000000}"/>
  </bookViews>
  <sheets>
    <sheet name="RetailSalesData_100rows" sheetId="2" r:id="rId1"/>
    <sheet name="dashboard" sheetId="3" r:id="rId2"/>
    <sheet name="Sheet1" sheetId="1" r:id="rId3"/>
  </sheets>
  <definedNames>
    <definedName name="_xlchart.v2.0" hidden="1">Sheet1!$M$26:$M$31</definedName>
    <definedName name="_xlchart.v2.1" hidden="1">Sheet1!$N$25</definedName>
    <definedName name="_xlchart.v2.2" hidden="1">Sheet1!$N$26:$N$31</definedName>
    <definedName name="_xlchart.v2.3" hidden="1">Sheet1!$M$26:$M$31</definedName>
    <definedName name="_xlchart.v2.4" hidden="1">Sheet1!$N$25</definedName>
    <definedName name="_xlchart.v2.5" hidden="1">Sheet1!$N$26:$N$31</definedName>
    <definedName name="_xlchart.v2.6" hidden="1">Sheet1!$M$26:$M$31</definedName>
    <definedName name="_xlchart.v2.7" hidden="1">Sheet1!$N$25</definedName>
    <definedName name="_xlchart.v2.8" hidden="1">Sheet1!$N$26:$N$31</definedName>
    <definedName name="ExternalData_2" localSheetId="0" hidden="1">'RetailSalesData_100rows'!$A$1:$L$101</definedName>
    <definedName name="Slicer_Category">#N/A</definedName>
    <definedName name="Slicer_Region">#N/A</definedName>
    <definedName name="Slicer_SalesPerson">#N/A</definedName>
    <definedName name="Timeline_OrderDate">#N/A</definedName>
  </definedNames>
  <calcPr calcId="191029"/>
  <pivotCaches>
    <pivotCache cacheId="335" r:id="rId4"/>
    <pivotCache cacheId="323" r:id="rId5"/>
    <pivotCache cacheId="325" r:id="rId6"/>
    <pivotCache cacheId="327" r:id="rId7"/>
    <pivotCache cacheId="329" r:id="rId8"/>
    <pivotCache cacheId="331" r:id="rId9"/>
    <pivotCache cacheId="333" r:id="rId10"/>
  </pivotCaches>
  <extLst>
    <ext xmlns:x14="http://schemas.microsoft.com/office/spreadsheetml/2009/9/main" uri="{876F7934-8845-4945-9796-88D515C7AA90}">
      <x14:pivotCaches>
        <pivotCache cacheId="124" r:id="rId11"/>
      </x14:pivotCaches>
    </ex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05" r:id="rId15"/>
      </x15:timelineCachePivotCaches>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tailSalesData_100rows_6527374f-ba7a-402f-a483-2f6948df1d19" name="RetailSalesData_100rows" connection="Query - RetailSalesData_100row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1" l="1"/>
  <c r="D5" i="1"/>
  <c r="B5" i="1"/>
  <c r="E5"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06EFDA3-3112-494C-8D24-312199E06C22}" keepAlive="1" name="ModelConnection_ExternalData_2" description="Data Model" type="5" refreshedVersion="8" minRefreshableVersion="5" saveData="1">
    <dbPr connection="Data Model Connection" command="RetailSalesData_100rows" commandType="3"/>
    <extLst>
      <ext xmlns:x15="http://schemas.microsoft.com/office/spreadsheetml/2010/11/main" uri="{DE250136-89BD-433C-8126-D09CA5730AF9}">
        <x15:connection id="" model="1"/>
      </ext>
    </extLst>
  </connection>
  <connection id="2" xr16:uid="{62E835BF-8783-4ACB-A444-037296517203}" name="Query - RetailSalesData_100rows" description="Connection to the 'RetailSalesData_100rows' query in the workbook." type="100" refreshedVersion="8" minRefreshableVersion="5">
    <extLst>
      <ext xmlns:x15="http://schemas.microsoft.com/office/spreadsheetml/2010/11/main" uri="{DE250136-89BD-433C-8126-D09CA5730AF9}">
        <x15:connection id="3c7fbd76-5ff0-44fa-ba94-7704a253794d"/>
      </ext>
    </extLst>
  </connection>
  <connection id="3" xr16:uid="{878F5D99-2AD4-4668-AD8C-8759572BAB7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<sst xmlns="http://schemas.openxmlformats.org/spreadsheetml/2006/main" count="786" uniqueCount="159">
  <si>
    <t>OrderID</t>
  </si>
  <si>
    <t>OrderDate</t>
  </si>
  <si>
    <t>Region</t>
  </si>
  <si>
    <t>SalesPerson</t>
  </si>
  <si>
    <t>Product</t>
  </si>
  <si>
    <t>Category</t>
  </si>
  <si>
    <t>UnitsSold</t>
  </si>
  <si>
    <t>UnitPrice</t>
  </si>
  <si>
    <t>Revenue</t>
  </si>
  <si>
    <t>Month Name</t>
  </si>
  <si>
    <t>Month</t>
  </si>
  <si>
    <t>Day Name</t>
  </si>
  <si>
    <t>1001</t>
  </si>
  <si>
    <t>Colombo</t>
  </si>
  <si>
    <t>Kamal</t>
  </si>
  <si>
    <t>Table</t>
  </si>
  <si>
    <t>Furniture</t>
  </si>
  <si>
    <t>November</t>
  </si>
  <si>
    <t>Saturday</t>
  </si>
  <si>
    <t>1002</t>
  </si>
  <si>
    <t>Kandy</t>
  </si>
  <si>
    <t>Nimal</t>
  </si>
  <si>
    <t>May</t>
  </si>
  <si>
    <t>Sunday</t>
  </si>
  <si>
    <t>1003</t>
  </si>
  <si>
    <t>Ruwan</t>
  </si>
  <si>
    <t>Laptop</t>
  </si>
  <si>
    <t>Electronics</t>
  </si>
  <si>
    <t>December</t>
  </si>
  <si>
    <t>Thursday</t>
  </si>
  <si>
    <t>1004</t>
  </si>
  <si>
    <t>Chair</t>
  </si>
  <si>
    <t>February</t>
  </si>
  <si>
    <t>1005</t>
  </si>
  <si>
    <t>Mobile</t>
  </si>
  <si>
    <t>January</t>
  </si>
  <si>
    <t>1006</t>
  </si>
  <si>
    <t>Galle</t>
  </si>
  <si>
    <t>October</t>
  </si>
  <si>
    <t>Monday</t>
  </si>
  <si>
    <t>1007</t>
  </si>
  <si>
    <t>June</t>
  </si>
  <si>
    <t>1008</t>
  </si>
  <si>
    <t>1009</t>
  </si>
  <si>
    <t>Tuesday</t>
  </si>
  <si>
    <t>1010</t>
  </si>
  <si>
    <t>1011</t>
  </si>
  <si>
    <t>1012</t>
  </si>
  <si>
    <t>Saman</t>
  </si>
  <si>
    <t>Wednesday</t>
  </si>
  <si>
    <t>1013</t>
  </si>
  <si>
    <t>Jaffna</t>
  </si>
  <si>
    <t>Tablet</t>
  </si>
  <si>
    <t>1014</t>
  </si>
  <si>
    <t>March</t>
  </si>
  <si>
    <t>1015</t>
  </si>
  <si>
    <t>1016</t>
  </si>
  <si>
    <t>Printer</t>
  </si>
  <si>
    <t>Office</t>
  </si>
  <si>
    <t>1017</t>
  </si>
  <si>
    <t>April</t>
  </si>
  <si>
    <t>1018</t>
  </si>
  <si>
    <t>1019</t>
  </si>
  <si>
    <t>1020</t>
  </si>
  <si>
    <t>July</t>
  </si>
  <si>
    <t>1021</t>
  </si>
  <si>
    <t>1022</t>
  </si>
  <si>
    <t>1023</t>
  </si>
  <si>
    <t>Friday</t>
  </si>
  <si>
    <t>1024</t>
  </si>
  <si>
    <t>1025</t>
  </si>
  <si>
    <t>1026</t>
  </si>
  <si>
    <t>1027</t>
  </si>
  <si>
    <t>1028</t>
  </si>
  <si>
    <t>1029</t>
  </si>
  <si>
    <t>1030</t>
  </si>
  <si>
    <t>1031</t>
  </si>
  <si>
    <t>1032</t>
  </si>
  <si>
    <t>1033</t>
  </si>
  <si>
    <t>1034</t>
  </si>
  <si>
    <t>1035</t>
  </si>
  <si>
    <t>August</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</si>
  <si>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</si>
  <si>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</si>
  <si>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</si>
  <si>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</si>
  <si>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</si>
  <si>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</si>
  <si>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</si>
  <si>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</si>
  <si>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</si>
  <si>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</si>
  <si>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</si>
  <si>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</si>
  <si>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</si>
  <si>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</si>
  <si>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</si>
  <si>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</si>
  <si>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</si>
  <si>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</si>
  <si>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</si>
  <si>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</si>
  <si>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</si>
  <si>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</si>
  <si>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</si>
  <si>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</si>
  <si>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</si>
  <si>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</si>
  <si>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</si>
  <si>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September</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</si>
  <si>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</si>
  <si>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</si>
  <si>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</si>
  <si>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</si>
  <si>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</si>
  <si>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</si>
  <si>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</si>
  <si>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</si>
  <si>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</si>
  <si>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</si>
  <si>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</si>
  <si>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</si>
  <si>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</si>
  <si>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</si>
  <si>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</si>
  <si>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</si>
  <si>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</si>
  <si>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</si>
  <si>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</si>
  <si>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</si>
  <si>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</si>
  <si>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</si>
  <si>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</si>
  <si>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</si>
  <si>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</si>
  <si>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</si>
  <si>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</si>
  <si>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</si>
  <si>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</si>
  <si>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</si>
  <si>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</si>
  <si>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</si>
  <si>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</si>
  <si>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</si>
  <si>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</si>
  <si>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</si>
  <si>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</si>
  <si>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</si>
  <si>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Row Labels</t>
  </si>
  <si>
    <t>Grand Total</t>
  </si>
  <si>
    <t>Total revenue</t>
  </si>
  <si>
    <t>Revenue by Region</t>
  </si>
  <si>
    <t>Revenue by Category</t>
  </si>
  <si>
    <t>Monthly Sales Trend</t>
  </si>
  <si>
    <t>Top Products</t>
  </si>
  <si>
    <t>Total units sold</t>
  </si>
  <si>
    <t>Total orders</t>
  </si>
  <si>
    <t>Toatl sales &amp; orders in per day</t>
  </si>
  <si>
    <t>avg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</si>
</sst>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0.00;\(\$#,##0.00\);\$#,##0.0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44" fontId="1" fillId="0" borderId="0" applyFont="0" applyFill="0" applyBorder="0" applyAlignment="0" applyProtection="0"/>
  </cellStyleXfs>
  <cellXfs count="10">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2" fillId="2" borderId="1" xfId="0" applyFont="1" applyFill="1" applyBorder="1"/>
    <xf numFmtId="1" fontId="0" fillId="0" borderId="0" xfId="0" applyNumberFormat="1"/>
    <xf numFmtId="44" fontId="0" fillId="0" borderId="0" xfId="1" applyFont="1"/>
    <xf numFmtId="0" fontId="2" fillId="0" borderId="0" xfId="0" applyFont="1"/>
  </cellXfs>
  <cellStyles count="2">
    <cellStyle name="Currency" xfId="1" builtinId="4"/>
    <cellStyle name="Normal" xfId="0" builtinId="0"/>
  </cellStyles>
  <dxfs count="10">
    <dxf>
      <fill>
        <patternFill patternType="none">
          <bgColor auto="1"/>
        </patternFill>
      </fill>
    </dxf>
    <dxf>
      <fill>
        <patternFill patternType="none">
          <bgColor auto="1"/>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s>
  <tableStyles count="1" defaultTableStyle="TableStyleMedium2" defaultPivotStyle="PivotStyleLight16">
    <tableStyle name="Slicer Style 1" pivot="0" table="0" count="4" xr9:uid="{DE84906F-31D1-46DB-B89A-7D1EDCAC2A45}">
      <tableStyleElement type="wholeTable" dxfId="0"/>
      <tableStyleElement type="headerRow" dxfId="1"/>
    </tableStyle>
  </tableStyles>
  <extLst>
    <ext xmlns:x14="http://schemas.microsoft.com/office/spreadsheetml/2009/9/main" uri="{46F421CA-312F-682f-3DD2-61675219B42D}">
      <x14:dxfs count="2">
        <dxf>
          <fill>
            <gradientFill degree="90">
              <stop position="0">
                <color theme="0"/>
              </stop>
              <stop position="1">
                <color theme="2"/>
              </stop>
            </gradientFill>
          </fill>
        </dxf>
        <dxf>
          <fill>
            <gradientFill degree="90">
              <stop position="0">
                <color theme="0"/>
              </stop>
              <stop position="1">
                <color theme="4"/>
              </stop>
            </gradient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0"/>
            <x14:slicerStyleElement type="selectedItemWith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47" Type="http://schemas.openxmlformats.org/officeDocument/2006/relationships/customXml" Target="../customXml/item25.xml"/><Relationship Id="rId50" Type="http://schemas.openxmlformats.org/officeDocument/2006/relationships/customXml" Target="../customXml/item28.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11/relationships/timelineCache" Target="timelineCaches/timelineCache1.xml"/><Relationship Id="rId29" Type="http://schemas.openxmlformats.org/officeDocument/2006/relationships/customXml" Target="../customXml/item7.xml"/><Relationship Id="rId11" Type="http://schemas.openxmlformats.org/officeDocument/2006/relationships/pivotCacheDefinition" Target="pivotCache/pivotCacheDefinition8.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9.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49" Type="http://schemas.openxmlformats.org/officeDocument/2006/relationships/customXml" Target="../customXml/item27.xml"/><Relationship Id="rId10" Type="http://schemas.openxmlformats.org/officeDocument/2006/relationships/pivotCacheDefinition" Target="pivotCache/pivotCacheDefinition7.xml"/><Relationship Id="rId19" Type="http://schemas.openxmlformats.org/officeDocument/2006/relationships/styles" Target="style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3.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48" Type="http://schemas.openxmlformats.org/officeDocument/2006/relationships/customXml" Target="../customXml/item26.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20" Type="http://schemas.openxmlformats.org/officeDocument/2006/relationships/sharedStrings" Target="sharedStrings.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[100 rows sales.xlsx]Sheet1!PivotTable14</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75000"/>
                </a:schemeClr>
              </a:gs>
              <a:gs pos="55000">
                <a:schemeClr val="accent5">
                  <a:lumMod val="60000"/>
                  <a:lumOff val="40000"/>
                </a:schemeClr>
              </a:gs>
              <a:gs pos="95000">
                <a:schemeClr val="accent2">
                  <a:lumMod val="75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Sheet1!$L$14</c:f>
              <c:strCache>
                <c:ptCount val="1"/>
                <c:pt idx="0">
                  <c:v>Total</c:v>
                </c:pt>
              </c:strCache>
            </c:strRef>
          </c:tx>
          <c:spPr>
            <a:gradFill flip="none" rotWithShape="1">
              <a:gsLst>
                <a:gs pos="0">
                  <a:schemeClr val="accent1">
                    <a:lumMod val="75000"/>
                  </a:schemeClr>
                </a:gs>
                <a:gs pos="55000">
                  <a:schemeClr val="accent5">
                    <a:lumMod val="60000"/>
                    <a:lumOff val="40000"/>
                  </a:schemeClr>
                </a:gs>
                <a:gs pos="95000">
                  <a:schemeClr val="accent2">
                    <a:lumMod val="75000"/>
                  </a:schemeClr>
                </a:gs>
              </a:gsLst>
              <a:lin ang="162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Sheet1!$K$15:$K$22</c:f>
              <c:strCache>
                <c:ptCount val="7"/>
                <c:pt idx="0">
                  <c:v>Sunday</c:v>
                </c:pt>
                <c:pt idx="1">
                  <c:v>Monday</c:v>
                </c:pt>
                <c:pt idx="2">
                  <c:v>Tuesday</c:v>
                </c:pt>
                <c:pt idx="3">
                  <c:v>Wednesday</c:v>
                </c:pt>
                <c:pt idx="4">
                  <c:v>Thursday</c:v>
                </c:pt>
                <c:pt idx="5">
                  <c:v>Friday</c:v>
                </c:pt>
                <c:pt idx="6">
                  <c:v>Saturday</c:v>
                </c:pt>
              </c:strCache>
            </c:strRef>
          </c:cat>
          <c:val>
            <c:numRef>
              <c:f>Sheet1!$L$15:$L$22</c:f>
              <c:numCache>
                <c:formatCode>0</c:formatCode>
                <c:ptCount val="7"/>
                <c:pt idx="0">
                  <c:v>105</c:v>
                </c:pt>
                <c:pt idx="1">
                  <c:v>62</c:v>
                </c:pt>
                <c:pt idx="2">
                  <c:v>98</c:v>
                </c:pt>
                <c:pt idx="3">
                  <c:v>49</c:v>
                </c:pt>
                <c:pt idx="4">
                  <c:v>75</c:v>
                </c:pt>
                <c:pt idx="5">
                  <c:v>53</c:v>
                </c:pt>
                <c:pt idx="6">
                  <c:v>100</c:v>
                </c:pt>
              </c:numCache>
            </c:numRef>
          </c:val>
          <c:extLst>
            <c:ext xmlns:c16="http://schemas.microsoft.com/office/drawing/2014/chart" uri="{C3380CC4-5D6E-409C-BE32-E72D297353CC}">
              <c16:uniqueId val="{00000000-3241-4896-A296-CCB7A9E191A8}"/>
            </c:ext>
          </c:extLst>
        </c:ser>
        <c:dLbls>
          <c:showLegendKey val="0"/>
          <c:showVal val="0"/>
          <c:showCatName val="0"/>
          <c:showSerName val="0"/>
          <c:showPercent val="0"/>
          <c:showBubbleSize val="0"/>
        </c:dLbls>
        <c:gapWidth val="86"/>
        <c:overlap val="-11"/>
        <c:axId val="1951165887"/>
        <c:axId val="1951164927"/>
      </c:barChart>
      <c:catAx>
        <c:axId val="19511658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951164927"/>
        <c:crosses val="autoZero"/>
        <c:auto val="1"/>
        <c:lblAlgn val="ctr"/>
        <c:lblOffset val="100"/>
        <c:noMultiLvlLbl val="0"/>
      </c:catAx>
      <c:valAx>
        <c:axId val="1951164927"/>
        <c:scaling>
          <c:orientation val="minMax"/>
        </c:scaling>
        <c:delete val="1"/>
        <c:axPos val="l"/>
        <c:numFmt formatCode="0" sourceLinked="1"/>
        <c:majorTickMark val="out"/>
        <c:minorTickMark val="none"/>
        <c:tickLblPos val="nextTo"/>
        <c:crossAx val="1951165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[100 rows sales.xlsx]Sheet1!PivotTable7</c:name>
    <c:fmtId val="10"/>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Sheet1!$C$28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Sheet1!$B$29:$B$41</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Sheet1!$C$29:$C$41</c:f>
              <c:numCache>
                <c:formatCode>\$#,##0.00;\(\$#,##0.00\);\$#,##0.00</c:formatCode>
                <c:ptCount val="12"/>
                <c:pt idx="0">
                  <c:v>4295000</c:v>
                </c:pt>
                <c:pt idx="1">
                  <c:v>5490000</c:v>
                </c:pt>
                <c:pt idx="2">
                  <c:v>4898000</c:v>
                </c:pt>
                <c:pt idx="3">
                  <c:v>5920000</c:v>
                </c:pt>
                <c:pt idx="4">
                  <c:v>2247000</c:v>
                </c:pt>
                <c:pt idx="5">
                  <c:v>4222000</c:v>
                </c:pt>
                <c:pt idx="6">
                  <c:v>4330000</c:v>
                </c:pt>
                <c:pt idx="7">
                  <c:v>2915000</c:v>
                </c:pt>
                <c:pt idx="8">
                  <c:v>4269000</c:v>
                </c:pt>
                <c:pt idx="9">
                  <c:v>1855000</c:v>
                </c:pt>
                <c:pt idx="10">
                  <c:v>4124000</c:v>
                </c:pt>
                <c:pt idx="11">
                  <c:v>548000</c:v>
                </c:pt>
              </c:numCache>
            </c:numRef>
          </c:val>
          <c:smooth val="0"/>
          <c:extLst>
            <c:ext xmlns:c16="http://schemas.microsoft.com/office/drawing/2014/chart" uri="{C3380CC4-5D6E-409C-BE32-E72D297353CC}">
              <c16:uniqueId val="{00000000-E73A-4DD6-A13B-F249D7C7FF7F}"/>
            </c:ext>
          </c:extLst>
        </c:ser>
        <c:dLbls>
          <c:showLegendKey val="0"/>
          <c:showVal val="0"/>
          <c:showCatName val="0"/>
          <c:showSerName val="0"/>
          <c:showPercent val="0"/>
          <c:showBubbleSize val="0"/>
        </c:dLbls>
        <c:marker val="1"/>
        <c:smooth val="0"/>
        <c:axId val="334940864"/>
        <c:axId val="334944224"/>
      </c:lineChart>
      <c:catAx>
        <c:axId val="33494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334944224"/>
        <c:crosses val="autoZero"/>
        <c:auto val="1"/>
        <c:lblAlgn val="ctr"/>
        <c:lblOffset val="100"/>
        <c:noMultiLvlLbl val="0"/>
      </c:catAx>
      <c:valAx>
        <c:axId val="334944224"/>
        <c:scaling>
          <c:orientation val="minMax"/>
        </c:scaling>
        <c:delete val="1"/>
        <c:axPos val="l"/>
        <c:numFmt formatCode="\$#,##0.00;\(\$#,##0.00\);\$#,##0.00" sourceLinked="1"/>
        <c:majorTickMark val="none"/>
        <c:minorTickMark val="none"/>
        <c:tickLblPos val="nextTo"/>
        <c:crossAx val="334940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[100 rows sales.xlsx]Sheet1!PivotTable2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75000"/>
                </a:schemeClr>
              </a:gs>
              <a:gs pos="55000">
                <a:schemeClr val="accent5">
                  <a:lumMod val="60000"/>
                  <a:lumOff val="40000"/>
                </a:schemeClr>
              </a:gs>
              <a:gs pos="95000">
                <a:schemeClr val="accent2">
                  <a:lumMod val="75000"/>
                </a:scheme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lumMod val="75000"/>
                </a:schemeClr>
              </a:gs>
              <a:gs pos="55000">
                <a:schemeClr val="accent5">
                  <a:lumMod val="60000"/>
                  <a:lumOff val="40000"/>
                </a:schemeClr>
              </a:gs>
              <a:gs pos="95000">
                <a:schemeClr val="accent2">
                  <a:lumMod val="75000"/>
                </a:schemeClr>
              </a:gs>
            </a:gsLst>
            <a:lin ang="16200000" scaled="1"/>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666666666666666"/>
                  <c:h val="0.18414454277286135"/>
                </c:manualLayout>
              </c15:layout>
            </c:ext>
          </c:extLst>
        </c:dLbl>
      </c:pivotFmt>
      <c:pivotFmt>
        <c:idx val="4"/>
        <c:spPr>
          <a:gradFill>
            <a:gsLst>
              <a:gs pos="0">
                <a:schemeClr val="accent1">
                  <a:lumMod val="75000"/>
                </a:schemeClr>
              </a:gs>
              <a:gs pos="55000">
                <a:schemeClr val="accent5">
                  <a:lumMod val="60000"/>
                  <a:lumOff val="40000"/>
                </a:schemeClr>
              </a:gs>
              <a:gs pos="95000">
                <a:schemeClr val="accent2">
                  <a:lumMod val="75000"/>
                </a:schemeClr>
              </a:gs>
            </a:gsLst>
            <a:lin ang="16200000" scaled="1"/>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686274509803921"/>
                  <c:h val="0.18414454277286135"/>
                </c:manualLayout>
              </c15:layout>
            </c:ext>
          </c:extLst>
        </c:dLbl>
      </c:pivotFmt>
      <c:pivotFmt>
        <c:idx val="5"/>
        <c:spPr>
          <a:gradFill>
            <a:gsLst>
              <a:gs pos="0">
                <a:schemeClr val="accent1">
                  <a:lumMod val="75000"/>
                </a:schemeClr>
              </a:gs>
              <a:gs pos="55000">
                <a:schemeClr val="accent5">
                  <a:lumMod val="60000"/>
                  <a:lumOff val="40000"/>
                </a:schemeClr>
              </a:gs>
              <a:gs pos="95000">
                <a:schemeClr val="accent2">
                  <a:lumMod val="75000"/>
                </a:schemeClr>
              </a:gs>
            </a:gsLst>
            <a:lin ang="16200000" scaled="1"/>
          </a:gradFill>
          <a:ln>
            <a:noFill/>
          </a:ln>
          <a:effectLst/>
        </c:spPr>
        <c:dLbl>
          <c:idx val="0"/>
          <c:layout>
            <c:manualLayout>
              <c:x val="1.143790849673202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359477124183007"/>
                  <c:h val="0.18414454277286135"/>
                </c:manualLayout>
              </c15:layout>
            </c:ext>
          </c:extLst>
        </c:dLbl>
      </c:pivotFmt>
    </c:pivotFmts>
    <c:plotArea>
      <c:layout/>
      <c:barChart>
        <c:barDir val="col"/>
        <c:grouping val="clustered"/>
        <c:varyColors val="0"/>
        <c:ser>
          <c:idx val="0"/>
          <c:order val="0"/>
          <c:tx>
            <c:strRef>
              <c:f>Sheet1!$C$13</c:f>
              <c:strCache>
                <c:ptCount val="1"/>
                <c:pt idx="0">
                  <c:v>Total</c:v>
                </c:pt>
              </c:strCache>
            </c:strRef>
          </c:tx>
          <c:spPr>
            <a:gradFill>
              <a:gsLst>
                <a:gs pos="0">
                  <a:schemeClr val="accent1">
                    <a:lumMod val="75000"/>
                  </a:schemeClr>
                </a:gs>
                <a:gs pos="55000">
                  <a:schemeClr val="accent5">
                    <a:lumMod val="60000"/>
                    <a:lumOff val="40000"/>
                  </a:schemeClr>
                </a:gs>
                <a:gs pos="95000">
                  <a:schemeClr val="accent2">
                    <a:lumMod val="75000"/>
                  </a:schemeClr>
                </a:gs>
              </a:gsLst>
              <a:lin ang="16200000" scaled="1"/>
            </a:gradFill>
            <a:ln>
              <a:noFill/>
            </a:ln>
            <a:effectLst/>
          </c:spPr>
          <c:invertIfNegative val="0"/>
          <c:dLbls>
            <c:dLbl>
              <c:idx val="0"/>
              <c:showLegendKey val="0"/>
              <c:showVal val="1"/>
              <c:showCatName val="0"/>
              <c:showSerName val="0"/>
              <c:showPercent val="0"/>
              <c:showBubbleSize val="0"/>
              <c:extLst>
                <c:ext xmlns:c15="http://schemas.microsoft.com/office/drawing/2012/chart" uri="{CE6537A1-D6FC-4f65-9D91-7224C49458BB}">
                  <c15:layout>
                    <c:manualLayout>
                      <c:w val="0.22666666666666666"/>
                      <c:h val="0.18414454277286135"/>
                    </c:manualLayout>
                  </c15:layout>
                </c:ext>
                <c:ext xmlns:c16="http://schemas.microsoft.com/office/drawing/2014/chart" uri="{C3380CC4-5D6E-409C-BE32-E72D297353CC}">
                  <c16:uniqueId val="{00000001-8F7B-4311-B040-EFD82BE4E548}"/>
                </c:ext>
              </c:extLst>
            </c:dLbl>
            <c:dLbl>
              <c:idx val="1"/>
              <c:showLegendKey val="0"/>
              <c:showVal val="1"/>
              <c:showCatName val="0"/>
              <c:showSerName val="0"/>
              <c:showPercent val="0"/>
              <c:showBubbleSize val="0"/>
              <c:extLst>
                <c:ext xmlns:c15="http://schemas.microsoft.com/office/drawing/2012/chart" uri="{CE6537A1-D6FC-4f65-9D91-7224C49458BB}">
                  <c15:layout>
                    <c:manualLayout>
                      <c:w val="0.21686274509803921"/>
                      <c:h val="0.18414454277286135"/>
                    </c:manualLayout>
                  </c15:layout>
                </c:ext>
                <c:ext xmlns:c16="http://schemas.microsoft.com/office/drawing/2014/chart" uri="{C3380CC4-5D6E-409C-BE32-E72D297353CC}">
                  <c16:uniqueId val="{00000002-8F7B-4311-B040-EFD82BE4E548}"/>
                </c:ext>
              </c:extLst>
            </c:dLbl>
            <c:dLbl>
              <c:idx val="3"/>
              <c:layout>
                <c:manualLayout>
                  <c:x val="1.1437908496732027E-2"/>
                  <c:y val="0"/>
                </c:manualLayout>
              </c:layout>
              <c:showLegendKey val="0"/>
              <c:showVal val="1"/>
              <c:showCatName val="0"/>
              <c:showSerName val="0"/>
              <c:showPercent val="0"/>
              <c:showBubbleSize val="0"/>
              <c:extLst>
                <c:ext xmlns:c15="http://schemas.microsoft.com/office/drawing/2012/chart" uri="{CE6537A1-D6FC-4f65-9D91-7224C49458BB}">
                  <c15:layout>
                    <c:manualLayout>
                      <c:w val="0.21359477124183007"/>
                      <c:h val="0.18414454277286135"/>
                    </c:manualLayout>
                  </c15:layout>
                </c:ext>
                <c:ext xmlns:c16="http://schemas.microsoft.com/office/drawing/2014/chart" uri="{C3380CC4-5D6E-409C-BE32-E72D297353CC}">
                  <c16:uniqueId val="{00000003-8F7B-4311-B040-EFD82BE4E54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Sheet1!$B$14:$B$18</c:f>
              <c:strCache>
                <c:ptCount val="4"/>
                <c:pt idx="0">
                  <c:v>Colombo</c:v>
                </c:pt>
                <c:pt idx="1">
                  <c:v>Galle</c:v>
                </c:pt>
                <c:pt idx="2">
                  <c:v>Jaffna</c:v>
                </c:pt>
                <c:pt idx="3">
                  <c:v>Kandy</c:v>
                </c:pt>
              </c:strCache>
            </c:strRef>
          </c:cat>
          <c:val>
            <c:numRef>
              <c:f>Sheet1!$C$14:$C$18</c:f>
              <c:numCache>
                <c:formatCode>\$#,##0.00;\(\$#,##0.00\);\$#,##0.00</c:formatCode>
                <c:ptCount val="4"/>
                <c:pt idx="0">
                  <c:v>10207000</c:v>
                </c:pt>
                <c:pt idx="1">
                  <c:v>14384000</c:v>
                </c:pt>
                <c:pt idx="2">
                  <c:v>7452000</c:v>
                </c:pt>
                <c:pt idx="3">
                  <c:v>13070000</c:v>
                </c:pt>
              </c:numCache>
            </c:numRef>
          </c:val>
          <c:extLst>
            <c:ext xmlns:c16="http://schemas.microsoft.com/office/drawing/2014/chart" uri="{C3380CC4-5D6E-409C-BE32-E72D297353CC}">
              <c16:uniqueId val="{00000000-8F7B-4311-B040-EFD82BE4E548}"/>
            </c:ext>
          </c:extLst>
        </c:ser>
        <c:dLbls>
          <c:showLegendKey val="0"/>
          <c:showVal val="0"/>
          <c:showCatName val="0"/>
          <c:showSerName val="0"/>
          <c:showPercent val="0"/>
          <c:showBubbleSize val="0"/>
        </c:dLbls>
        <c:gapWidth val="219"/>
        <c:overlap val="-27"/>
        <c:axId val="127399456"/>
        <c:axId val="127398016"/>
      </c:barChart>
      <c:catAx>
        <c:axId val="12739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27398016"/>
        <c:crosses val="autoZero"/>
        <c:auto val="1"/>
        <c:lblAlgn val="ctr"/>
        <c:lblOffset val="100"/>
        <c:noMultiLvlLbl val="0"/>
      </c:catAx>
      <c:valAx>
        <c:axId val="127398016"/>
        <c:scaling>
          <c:orientation val="minMax"/>
        </c:scaling>
        <c:delete val="1"/>
        <c:axPos val="l"/>
        <c:numFmt formatCode="\$#,##0.00;\(\$#,##0.00\);\$#,##0.00" sourceLinked="1"/>
        <c:majorTickMark val="none"/>
        <c:minorTickMark val="none"/>
        <c:tickLblPos val="nextTo"/>
        <c:crossAx val="12739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[100 rows sales.xlsx]Sheet1!PivotTable3</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1.2254901960784314E-2"/>
              <c:y val="-8.78356088516458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369281045751637"/>
                  <c:h val="0.18922018348623854"/>
                </c:manualLayout>
              </c15:layout>
            </c:ext>
          </c:extLst>
        </c:dLbl>
      </c:pivotFmt>
      <c:pivotFmt>
        <c:idx val="7"/>
        <c:spPr>
          <a:solidFill>
            <a:schemeClr val="accent1"/>
          </a:solidFill>
          <a:ln w="19050">
            <a:solidFill>
              <a:schemeClr val="lt1"/>
            </a:solidFill>
          </a:ln>
          <a:effectLst/>
        </c:spPr>
        <c:dLbl>
          <c:idx val="0"/>
          <c:layout>
            <c:manualLayout>
              <c:x val="0"/>
              <c:y val="4.365323027282139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288398692810457"/>
                  <c:h val="0.1643730886850153"/>
                </c:manualLayout>
              </c15:layout>
            </c:ext>
          </c:extLst>
        </c:dLbl>
      </c:pivotFmt>
      <c:pivotFmt>
        <c:idx val="8"/>
        <c:spPr>
          <a:solidFill>
            <a:schemeClr val="accent1"/>
          </a:solidFill>
          <a:ln w="19050">
            <a:solidFill>
              <a:schemeClr val="lt1"/>
            </a:solidFill>
          </a:ln>
          <a:effectLst/>
        </c:spPr>
        <c:dLbl>
          <c:idx val="0"/>
          <c:layout>
            <c:manualLayout>
              <c:x val="2.4509803921568644E-2"/>
              <c:y val="3.822629969418960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552287581699346"/>
                  <c:h val="0.18922018348623854"/>
                </c:manualLayout>
              </c15:layout>
            </c:ext>
          </c:extLst>
        </c:dLbl>
      </c:pivotFmt>
    </c:pivotFmts>
    <c:plotArea>
      <c:layout/>
      <c:pieChart>
        <c:varyColors val="1"/>
        <c:ser>
          <c:idx val="0"/>
          <c:order val="0"/>
          <c:tx>
            <c:strRef>
              <c:f>Sheet1!$C$21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993-415B-9C28-B7BB5B62F15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993-415B-9C28-B7BB5B62F15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993-415B-9C28-B7BB5B62F150}"/>
              </c:ext>
            </c:extLst>
          </c:dPt>
          <c:dLbls>
            <c:dLbl>
              <c:idx val="0"/>
              <c:layout>
                <c:manualLayout>
                  <c:x val="1.2254901960784314E-2"/>
                  <c:y val="-8.7835608851645833E-2"/>
                </c:manualLayout>
              </c:layout>
              <c:showLegendKey val="0"/>
              <c:showVal val="1"/>
              <c:showCatName val="0"/>
              <c:showSerName val="0"/>
              <c:showPercent val="0"/>
              <c:showBubbleSize val="0"/>
              <c:extLst>
                <c:ext xmlns:c15="http://schemas.microsoft.com/office/drawing/2012/chart" uri="{CE6537A1-D6FC-4f65-9D91-7224C49458BB}">
                  <c15:layout>
                    <c:manualLayout>
                      <c:w val="0.27369281045751637"/>
                      <c:h val="0.18922018348623854"/>
                    </c:manualLayout>
                  </c15:layout>
                </c:ext>
                <c:ext xmlns:c16="http://schemas.microsoft.com/office/drawing/2014/chart" uri="{C3380CC4-5D6E-409C-BE32-E72D297353CC}">
                  <c16:uniqueId val="{00000001-4993-415B-9C28-B7BB5B62F150}"/>
                </c:ext>
              </c:extLst>
            </c:dLbl>
            <c:dLbl>
              <c:idx val="1"/>
              <c:layout>
                <c:manualLayout>
                  <c:x val="0"/>
                  <c:y val="4.365323027282139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288398692810457"/>
                      <c:h val="0.1643730886850153"/>
                    </c:manualLayout>
                  </c15:layout>
                </c:ext>
                <c:ext xmlns:c16="http://schemas.microsoft.com/office/drawing/2014/chart" uri="{C3380CC4-5D6E-409C-BE32-E72D297353CC}">
                  <c16:uniqueId val="{00000003-4993-415B-9C28-B7BB5B62F150}"/>
                </c:ext>
              </c:extLst>
            </c:dLbl>
            <c:dLbl>
              <c:idx val="2"/>
              <c:layout>
                <c:manualLayout>
                  <c:x val="2.4509803921568644E-2"/>
                  <c:y val="3.8226299694189602E-3"/>
                </c:manualLayout>
              </c:layout>
              <c:showLegendKey val="0"/>
              <c:showVal val="1"/>
              <c:showCatName val="0"/>
              <c:showSerName val="0"/>
              <c:showPercent val="0"/>
              <c:showBubbleSize val="0"/>
              <c:extLst>
                <c:ext xmlns:c15="http://schemas.microsoft.com/office/drawing/2012/chart" uri="{CE6537A1-D6FC-4f65-9D91-7224C49458BB}">
                  <c15:layout>
                    <c:manualLayout>
                      <c:w val="0.26552287581699346"/>
                      <c:h val="0.18922018348623854"/>
                    </c:manualLayout>
                  </c15:layout>
                </c:ext>
                <c:ext xmlns:c16="http://schemas.microsoft.com/office/drawing/2014/chart" uri="{C3380CC4-5D6E-409C-BE32-E72D297353CC}">
                  <c16:uniqueId val="{00000005-4993-415B-9C28-B7BB5B62F15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Sheet1!$B$22:$B$25</c:f>
              <c:strCache>
                <c:ptCount val="3"/>
                <c:pt idx="0">
                  <c:v>Electronics</c:v>
                </c:pt>
                <c:pt idx="1">
                  <c:v>Furniture</c:v>
                </c:pt>
                <c:pt idx="2">
                  <c:v>Office</c:v>
                </c:pt>
              </c:strCache>
            </c:strRef>
          </c:cat>
          <c:val>
            <c:numRef>
              <c:f>Sheet1!$C$22:$C$25</c:f>
              <c:numCache>
                <c:formatCode>\$#,##0.00;\(\$#,##0.00\);\$#,##0.00</c:formatCode>
                <c:ptCount val="3"/>
                <c:pt idx="0">
                  <c:v>34415000</c:v>
                </c:pt>
                <c:pt idx="1">
                  <c:v>5433000</c:v>
                </c:pt>
                <c:pt idx="2">
                  <c:v>5265000</c:v>
                </c:pt>
              </c:numCache>
            </c:numRef>
          </c:val>
          <c:extLst>
            <c:ext xmlns:c16="http://schemas.microsoft.com/office/drawing/2014/chart" uri="{C3380CC4-5D6E-409C-BE32-E72D297353CC}">
              <c16:uniqueId val="{00000006-4993-415B-9C28-B7BB5B62F15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[100 rows sales.xlsx]Sheet1!PivotTable8</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75000"/>
                </a:schemeClr>
              </a:gs>
              <a:gs pos="66000">
                <a:schemeClr val="accent1">
                  <a:lumMod val="60000"/>
                  <a:lumOff val="40000"/>
                </a:schemeClr>
              </a:gs>
              <a:gs pos="100000">
                <a:schemeClr val="accent2">
                  <a:lumMod val="75000"/>
                </a:schemeClr>
              </a:gs>
            </a:gsLst>
            <a:lin ang="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lumMod val="75000"/>
                </a:schemeClr>
              </a:gs>
              <a:gs pos="66000">
                <a:schemeClr val="accent1">
                  <a:lumMod val="60000"/>
                  <a:lumOff val="40000"/>
                </a:schemeClr>
              </a:gs>
              <a:gs pos="100000">
                <a:schemeClr val="accent2">
                  <a:lumMod val="75000"/>
                </a:schemeClr>
              </a:gs>
            </a:gsLst>
            <a:lin ang="0" scaled="1"/>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634408602150538"/>
                  <c:h val="0.16547382372432073"/>
                </c:manualLayout>
              </c15:layout>
            </c:ext>
          </c:extLst>
        </c:dLbl>
      </c:pivotFmt>
      <c:pivotFmt>
        <c:idx val="4"/>
        <c:spPr>
          <a:gradFill>
            <a:gsLst>
              <a:gs pos="0">
                <a:schemeClr val="accent1">
                  <a:lumMod val="75000"/>
                </a:schemeClr>
              </a:gs>
              <a:gs pos="66000">
                <a:schemeClr val="accent1">
                  <a:lumMod val="60000"/>
                  <a:lumOff val="40000"/>
                </a:schemeClr>
              </a:gs>
              <a:gs pos="100000">
                <a:schemeClr val="accent2">
                  <a:lumMod val="75000"/>
                </a:schemeClr>
              </a:gs>
            </a:gsLst>
            <a:lin ang="0" scaled="1"/>
          </a:gradFill>
          <a:ln>
            <a:noFill/>
          </a:ln>
          <a:effectLst/>
        </c:spPr>
        <c:dLbl>
          <c:idx val="0"/>
          <c:layout>
            <c:manualLayout>
              <c:x val="3.3602150537634409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970430107526882"/>
                  <c:h val="0.16547382372432073"/>
                </c:manualLayout>
              </c15:layout>
            </c:ext>
          </c:extLst>
        </c:dLbl>
      </c:pivotFmt>
    </c:pivotFmts>
    <c:plotArea>
      <c:layout>
        <c:manualLayout>
          <c:layoutTarget val="inner"/>
          <c:xMode val="edge"/>
          <c:yMode val="edge"/>
          <c:x val="0.11972208111082888"/>
          <c:y val="9.0470512421475316E-2"/>
          <c:w val="0.82651447802895606"/>
          <c:h val="0.84689605590211869"/>
        </c:manualLayout>
      </c:layout>
      <c:barChart>
        <c:barDir val="bar"/>
        <c:grouping val="clustered"/>
        <c:varyColors val="0"/>
        <c:ser>
          <c:idx val="0"/>
          <c:order val="0"/>
          <c:tx>
            <c:strRef>
              <c:f>Sheet1!$L$3</c:f>
              <c:strCache>
                <c:ptCount val="1"/>
                <c:pt idx="0">
                  <c:v>Total</c:v>
                </c:pt>
              </c:strCache>
            </c:strRef>
          </c:tx>
          <c:spPr>
            <a:gradFill>
              <a:gsLst>
                <a:gs pos="0">
                  <a:schemeClr val="accent1">
                    <a:lumMod val="75000"/>
                  </a:schemeClr>
                </a:gs>
                <a:gs pos="66000">
                  <a:schemeClr val="accent1">
                    <a:lumMod val="60000"/>
                    <a:lumOff val="40000"/>
                  </a:schemeClr>
                </a:gs>
                <a:gs pos="100000">
                  <a:schemeClr val="accent2">
                    <a:lumMod val="75000"/>
                  </a:schemeClr>
                </a:gs>
              </a:gsLst>
              <a:lin ang="0" scaled="1"/>
            </a:gradFill>
            <a:ln>
              <a:noFill/>
            </a:ln>
            <a:effectLst/>
          </c:spPr>
          <c:invertIfNegative val="0"/>
          <c:dLbls>
            <c:dLbl>
              <c:idx val="0"/>
              <c:showLegendKey val="0"/>
              <c:showVal val="1"/>
              <c:showCatName val="0"/>
              <c:showSerName val="0"/>
              <c:showPercent val="0"/>
              <c:showBubbleSize val="0"/>
              <c:extLst>
                <c:ext xmlns:c15="http://schemas.microsoft.com/office/drawing/2012/chart" uri="{CE6537A1-D6FC-4f65-9D91-7224C49458BB}">
                  <c15:layout>
                    <c:manualLayout>
                      <c:w val="0.22634408602150538"/>
                      <c:h val="0.16547382372432073"/>
                    </c:manualLayout>
                  </c15:layout>
                </c:ext>
                <c:ext xmlns:c16="http://schemas.microsoft.com/office/drawing/2014/chart" uri="{C3380CC4-5D6E-409C-BE32-E72D297353CC}">
                  <c16:uniqueId val="{00000001-3B7F-4813-BB55-B05CC68F723B}"/>
                </c:ext>
              </c:extLst>
            </c:dLbl>
            <c:dLbl>
              <c:idx val="1"/>
              <c:layout>
                <c:manualLayout>
                  <c:x val="3.3602150537634409E-3"/>
                  <c:y val="0"/>
                </c:manualLayout>
              </c:layout>
              <c:showLegendKey val="0"/>
              <c:showVal val="1"/>
              <c:showCatName val="0"/>
              <c:showSerName val="0"/>
              <c:showPercent val="0"/>
              <c:showBubbleSize val="0"/>
              <c:extLst>
                <c:ext xmlns:c15="http://schemas.microsoft.com/office/drawing/2012/chart" uri="{CE6537A1-D6FC-4f65-9D91-7224C49458BB}">
                  <c15:layout>
                    <c:manualLayout>
                      <c:w val="0.22970430107526882"/>
                      <c:h val="0.16547382372432073"/>
                    </c:manualLayout>
                  </c15:layout>
                </c:ext>
                <c:ext xmlns:c16="http://schemas.microsoft.com/office/drawing/2014/chart" uri="{C3380CC4-5D6E-409C-BE32-E72D297353CC}">
                  <c16:uniqueId val="{00000002-3B7F-4813-BB55-B05CC68F723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Sheet1!$K$4:$K$10</c:f>
              <c:strCache>
                <c:ptCount val="6"/>
                <c:pt idx="0">
                  <c:v>Laptop</c:v>
                </c:pt>
                <c:pt idx="1">
                  <c:v>Mobile</c:v>
                </c:pt>
                <c:pt idx="2">
                  <c:v>Tablet</c:v>
                </c:pt>
                <c:pt idx="3">
                  <c:v>Printer</c:v>
                </c:pt>
                <c:pt idx="4">
                  <c:v>Table</c:v>
                </c:pt>
                <c:pt idx="5">
                  <c:v>Chair</c:v>
                </c:pt>
              </c:strCache>
            </c:strRef>
          </c:cat>
          <c:val>
            <c:numRef>
              <c:f>Sheet1!$L$4:$L$10</c:f>
              <c:numCache>
                <c:formatCode>\$#,##0.00;\(\$#,##0.00\);\$#,##0.00</c:formatCode>
                <c:ptCount val="6"/>
                <c:pt idx="0">
                  <c:v>15170000</c:v>
                </c:pt>
                <c:pt idx="1">
                  <c:v>10370000</c:v>
                </c:pt>
                <c:pt idx="2">
                  <c:v>8875000</c:v>
                </c:pt>
                <c:pt idx="3">
                  <c:v>5265000</c:v>
                </c:pt>
                <c:pt idx="4">
                  <c:v>4365000</c:v>
                </c:pt>
                <c:pt idx="5">
                  <c:v>1068000</c:v>
                </c:pt>
              </c:numCache>
            </c:numRef>
          </c:val>
          <c:extLst>
            <c:ext xmlns:c16="http://schemas.microsoft.com/office/drawing/2014/chart" uri="{C3380CC4-5D6E-409C-BE32-E72D297353CC}">
              <c16:uniqueId val="{00000000-3B7F-4813-BB55-B05CC68F723B}"/>
            </c:ext>
          </c:extLst>
        </c:ser>
        <c:dLbls>
          <c:showLegendKey val="0"/>
          <c:showVal val="0"/>
          <c:showCatName val="0"/>
          <c:showSerName val="0"/>
          <c:showPercent val="0"/>
          <c:showBubbleSize val="0"/>
        </c:dLbls>
        <c:gapWidth val="71"/>
        <c:axId val="337865280"/>
        <c:axId val="337865760"/>
      </c:barChart>
      <c:catAx>
        <c:axId val="337865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337865760"/>
        <c:crosses val="autoZero"/>
        <c:auto val="1"/>
        <c:lblAlgn val="ctr"/>
        <c:lblOffset val="100"/>
        <c:noMultiLvlLbl val="0"/>
      </c:catAx>
      <c:valAx>
        <c:axId val="337865760"/>
        <c:scaling>
          <c:orientation val="minMax"/>
        </c:scaling>
        <c:delete val="1"/>
        <c:axPos val="b"/>
        <c:numFmt formatCode="\$#,##0.00;\(\$#,##0.00\);\$#,##0.00" sourceLinked="1"/>
        <c:majorTickMark val="none"/>
        <c:minorTickMark val="none"/>
        <c:tickLblPos val="nextTo"/>
        <c:crossAx val="337865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[100 rows sales.xlsx]Sheet1!PivotTable2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Sheet1!$C$13</c:f>
              <c:strCache>
                <c:ptCount val="1"/>
                <c:pt idx="0">
                  <c:v>Total</c:v>
                </c:pt>
              </c:strCache>
            </c:strRef>
          </c:tx>
          <c:spPr>
            <a:solidFill>
              <a:schemeClr val="accent1"/>
            </a:solidFill>
            <a:ln>
              <a:noFill/>
            </a:ln>
            <a:effectLst/>
          </c:spPr>
          <c:invertIfNegative val="0"/>
          <c:cat>
            <c:strRef>
              <c:f>Sheet1!$B$14:$B$18</c:f>
              <c:strCache>
                <c:ptCount val="4"/>
                <c:pt idx="0">
                  <c:v>Colombo</c:v>
                </c:pt>
                <c:pt idx="1">
                  <c:v>Galle</c:v>
                </c:pt>
                <c:pt idx="2">
                  <c:v>Jaffna</c:v>
                </c:pt>
                <c:pt idx="3">
                  <c:v>Kandy</c:v>
                </c:pt>
              </c:strCache>
            </c:strRef>
          </c:cat>
          <c:val>
            <c:numRef>
              <c:f>Sheet1!$C$14:$C$18</c:f>
              <c:numCache>
                <c:formatCode>\$#,##0.00;\(\$#,##0.00\);\$#,##0.00</c:formatCode>
                <c:ptCount val="4"/>
                <c:pt idx="0">
                  <c:v>10207000</c:v>
                </c:pt>
                <c:pt idx="1">
                  <c:v>14384000</c:v>
                </c:pt>
                <c:pt idx="2">
                  <c:v>7452000</c:v>
                </c:pt>
                <c:pt idx="3">
                  <c:v>13070000</c:v>
                </c:pt>
              </c:numCache>
            </c:numRef>
          </c:val>
          <c:extLst>
            <c:ext xmlns:c16="http://schemas.microsoft.com/office/drawing/2014/chart" uri="{C3380CC4-5D6E-409C-BE32-E72D297353CC}">
              <c16:uniqueId val="{00000000-3D74-4F4F-B6CC-BA9C2F46E294}"/>
            </c:ext>
          </c:extLst>
        </c:ser>
        <c:dLbls>
          <c:showLegendKey val="0"/>
          <c:showVal val="0"/>
          <c:showCatName val="0"/>
          <c:showSerName val="0"/>
          <c:showPercent val="0"/>
          <c:showBubbleSize val="0"/>
        </c:dLbls>
        <c:gapWidth val="219"/>
        <c:overlap val="-27"/>
        <c:axId val="127399456"/>
        <c:axId val="127398016"/>
      </c:barChart>
      <c:catAx>
        <c:axId val="12739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98016"/>
        <c:crosses val="autoZero"/>
        <c:auto val="1"/>
        <c:lblAlgn val="ctr"/>
        <c:lblOffset val="100"/>
        <c:noMultiLvlLbl val="0"/>
      </c:catAx>
      <c:valAx>
        <c:axId val="127398016"/>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9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[100 rows sales.xlsx]Sheet1!PivotTable3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Sheet1!$C$21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Sheet1!$B$22:$B$25</c:f>
              <c:strCache>
                <c:ptCount val="3"/>
                <c:pt idx="0">
                  <c:v>Electronics</c:v>
                </c:pt>
                <c:pt idx="1">
                  <c:v>Furniture</c:v>
                </c:pt>
                <c:pt idx="2">
                  <c:v>Office</c:v>
                </c:pt>
              </c:strCache>
            </c:strRef>
          </c:cat>
          <c:val>
            <c:numRef>
              <c:f>Sheet1!$C$22:$C$25</c:f>
              <c:numCache>
                <c:formatCode>\$#,##0.00;\(\$#,##0.00\);\$#,##0.00</c:formatCode>
                <c:ptCount val="3"/>
                <c:pt idx="0">
                  <c:v>34415000</c:v>
                </c:pt>
                <c:pt idx="1">
                  <c:v>5433000</c:v>
                </c:pt>
                <c:pt idx="2">
                  <c:v>5265000</c:v>
                </c:pt>
              </c:numCache>
            </c:numRef>
          </c:val>
          <c:extLst>
            <c:ext xmlns:c16="http://schemas.microsoft.com/office/drawing/2014/chart" uri="{C3380CC4-5D6E-409C-BE32-E72D297353CC}">
              <c16:uniqueId val="{00000000-77D8-45AB-9EFE-BB73A938EA1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[100 rows sales.xlsx]Sheet1!PivotTable7</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Sheet1!$C$28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Sheet1!$B$29:$B$41</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Sheet1!$C$29:$C$41</c:f>
              <c:numCache>
                <c:formatCode>\$#,##0.00;\(\$#,##0.00\);\$#,##0.00</c:formatCode>
                <c:ptCount val="12"/>
                <c:pt idx="0">
                  <c:v>4295000</c:v>
                </c:pt>
                <c:pt idx="1">
                  <c:v>5490000</c:v>
                </c:pt>
                <c:pt idx="2">
                  <c:v>4898000</c:v>
                </c:pt>
                <c:pt idx="3">
                  <c:v>5920000</c:v>
                </c:pt>
                <c:pt idx="4">
                  <c:v>2247000</c:v>
                </c:pt>
                <c:pt idx="5">
                  <c:v>4222000</c:v>
                </c:pt>
                <c:pt idx="6">
                  <c:v>4330000</c:v>
                </c:pt>
                <c:pt idx="7">
                  <c:v>2915000</c:v>
                </c:pt>
                <c:pt idx="8">
                  <c:v>4269000</c:v>
                </c:pt>
                <c:pt idx="9">
                  <c:v>1855000</c:v>
                </c:pt>
                <c:pt idx="10">
                  <c:v>4124000</c:v>
                </c:pt>
                <c:pt idx="11">
                  <c:v>548000</c:v>
                </c:pt>
              </c:numCache>
            </c:numRef>
          </c:val>
          <c:smooth val="0"/>
          <c:extLst>
            <c:ext xmlns:c16="http://schemas.microsoft.com/office/drawing/2014/chart" uri="{C3380CC4-5D6E-409C-BE32-E72D297353CC}">
              <c16:uniqueId val="{00000000-916C-4A69-BA21-FEF9BEA8705B}"/>
            </c:ext>
          </c:extLst>
        </c:ser>
        <c:dLbls>
          <c:showLegendKey val="0"/>
          <c:showVal val="0"/>
          <c:showCatName val="0"/>
          <c:showSerName val="0"/>
          <c:showPercent val="0"/>
          <c:showBubbleSize val="0"/>
        </c:dLbls>
        <c:marker val="1"/>
        <c:smooth val="0"/>
        <c:axId val="334940864"/>
        <c:axId val="334944224"/>
      </c:lineChart>
      <c:catAx>
        <c:axId val="33494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944224"/>
        <c:crosses val="autoZero"/>
        <c:auto val="1"/>
        <c:lblAlgn val="ctr"/>
        <c:lblOffset val="100"/>
        <c:noMultiLvlLbl val="0"/>
      </c:catAx>
      <c:valAx>
        <c:axId val="334944224"/>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940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[100 rows sales.xlsx]Sheet1!PivotTable8</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Sheet1!$L$3</c:f>
              <c:strCache>
                <c:ptCount val="1"/>
                <c:pt idx="0">
                  <c:v>Total</c:v>
                </c:pt>
              </c:strCache>
            </c:strRef>
          </c:tx>
          <c:spPr>
            <a:solidFill>
              <a:schemeClr val="accent1"/>
            </a:solidFill>
            <a:ln>
              <a:noFill/>
            </a:ln>
            <a:effectLst/>
          </c:spPr>
          <c:invertIfNegative val="0"/>
          <c:cat>
            <c:strRef>
              <c:f>Sheet1!$K$4:$K$10</c:f>
              <c:strCache>
                <c:ptCount val="6"/>
                <c:pt idx="0">
                  <c:v>Laptop</c:v>
                </c:pt>
                <c:pt idx="1">
                  <c:v>Mobile</c:v>
                </c:pt>
                <c:pt idx="2">
                  <c:v>Tablet</c:v>
                </c:pt>
                <c:pt idx="3">
                  <c:v>Printer</c:v>
                </c:pt>
                <c:pt idx="4">
                  <c:v>Table</c:v>
                </c:pt>
                <c:pt idx="5">
                  <c:v>Chair</c:v>
                </c:pt>
              </c:strCache>
            </c:strRef>
          </c:cat>
          <c:val>
            <c:numRef>
              <c:f>Sheet1!$L$4:$L$10</c:f>
              <c:numCache>
                <c:formatCode>\$#,##0.00;\(\$#,##0.00\);\$#,##0.00</c:formatCode>
                <c:ptCount val="6"/>
                <c:pt idx="0">
                  <c:v>15170000</c:v>
                </c:pt>
                <c:pt idx="1">
                  <c:v>10370000</c:v>
                </c:pt>
                <c:pt idx="2">
                  <c:v>8875000</c:v>
                </c:pt>
                <c:pt idx="3">
                  <c:v>5265000</c:v>
                </c:pt>
                <c:pt idx="4">
                  <c:v>4365000</c:v>
                </c:pt>
                <c:pt idx="5">
                  <c:v>1068000</c:v>
                </c:pt>
              </c:numCache>
            </c:numRef>
          </c:val>
          <c:extLst>
            <c:ext xmlns:c16="http://schemas.microsoft.com/office/drawing/2014/chart" uri="{C3380CC4-5D6E-409C-BE32-E72D297353CC}">
              <c16:uniqueId val="{00000000-58B3-4C1A-8AED-7DF1CE1FD274}"/>
            </c:ext>
          </c:extLst>
        </c:ser>
        <c:dLbls>
          <c:showLegendKey val="0"/>
          <c:showVal val="0"/>
          <c:showCatName val="0"/>
          <c:showSerName val="0"/>
          <c:showPercent val="0"/>
          <c:showBubbleSize val="0"/>
        </c:dLbls>
        <c:gapWidth val="182"/>
        <c:axId val="337865280"/>
        <c:axId val="337865760"/>
      </c:barChart>
      <c:catAx>
        <c:axId val="337865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865760"/>
        <c:crosses val="autoZero"/>
        <c:auto val="1"/>
        <c:lblAlgn val="ctr"/>
        <c:lblOffset val="100"/>
        <c:noMultiLvlLbl val="0"/>
      </c:catAx>
      <c:valAx>
        <c:axId val="337865760"/>
        <c:scaling>
          <c:orientation val="minMax"/>
        </c:scaling>
        <c:delete val="0"/>
        <c:axPos val="b"/>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865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[100 rows sales.xlsx]Sheet1!PivotTable14</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Sheet1!$L$14</c:f>
              <c:strCache>
                <c:ptCount val="1"/>
                <c:pt idx="0">
                  <c:v>Total</c:v>
                </c:pt>
              </c:strCache>
            </c:strRef>
          </c:tx>
          <c:spPr>
            <a:solidFill>
              <a:schemeClr val="accent1"/>
            </a:solidFill>
            <a:ln>
              <a:noFill/>
            </a:ln>
            <a:effectLst/>
          </c:spPr>
          <c:invertIfNegative val="0"/>
          <c:cat>
            <c:strRef>
              <c:f>Sheet1!$K$15:$K$22</c:f>
              <c:strCache>
                <c:ptCount val="7"/>
                <c:pt idx="0">
                  <c:v>Sunday</c:v>
                </c:pt>
                <c:pt idx="1">
                  <c:v>Monday</c:v>
                </c:pt>
                <c:pt idx="2">
                  <c:v>Tuesday</c:v>
                </c:pt>
                <c:pt idx="3">
                  <c:v>Wednesday</c:v>
                </c:pt>
                <c:pt idx="4">
                  <c:v>Thursday</c:v>
                </c:pt>
                <c:pt idx="5">
                  <c:v>Friday</c:v>
                </c:pt>
                <c:pt idx="6">
                  <c:v>Saturday</c:v>
                </c:pt>
              </c:strCache>
            </c:strRef>
          </c:cat>
          <c:val>
            <c:numRef>
              <c:f>Sheet1!$L$15:$L$22</c:f>
              <c:numCache>
                <c:formatCode>0</c:formatCode>
                <c:ptCount val="7"/>
                <c:pt idx="0">
                  <c:v>105</c:v>
                </c:pt>
                <c:pt idx="1">
                  <c:v>62</c:v>
                </c:pt>
                <c:pt idx="2">
                  <c:v>98</c:v>
                </c:pt>
                <c:pt idx="3">
                  <c:v>49</c:v>
                </c:pt>
                <c:pt idx="4">
                  <c:v>75</c:v>
                </c:pt>
                <c:pt idx="5">
                  <c:v>53</c:v>
                </c:pt>
                <c:pt idx="6">
                  <c:v>100</c:v>
                </c:pt>
              </c:numCache>
            </c:numRef>
          </c:val>
          <c:extLst>
            <c:ext xmlns:c16="http://schemas.microsoft.com/office/drawing/2014/chart" uri="{C3380CC4-5D6E-409C-BE32-E72D297353CC}">
              <c16:uniqueId val="{00000000-4CC9-4858-9CD9-C9B9E3CFE885}"/>
            </c:ext>
          </c:extLst>
        </c:ser>
        <c:dLbls>
          <c:showLegendKey val="0"/>
          <c:showVal val="0"/>
          <c:showCatName val="0"/>
          <c:showSerName val="0"/>
          <c:showPercent val="0"/>
          <c:showBubbleSize val="0"/>
        </c:dLbls>
        <c:gapWidth val="219"/>
        <c:overlap val="-27"/>
        <c:axId val="1951165887"/>
        <c:axId val="1951164927"/>
      </c:barChart>
      <c:catAx>
        <c:axId val="1951165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164927"/>
        <c:crosses val="autoZero"/>
        <c:auto val="1"/>
        <c:lblAlgn val="ctr"/>
        <c:lblOffset val="100"/>
        <c:noMultiLvlLbl val="0"/>
      </c:catAx>
      <c:valAx>
        <c:axId val="19511649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165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plotSurface>
          <cx:spPr>
            <a:noFill/>
            <a:ln>
              <a:noFill/>
            </a:ln>
          </cx:spPr>
        </cx:plotSurface>
        <cx:series layoutId="funnel" uniqueId="{627EBCC6-BDA6-46E6-90C7-CA247FF2EB54}">
          <cx:tx>
            <cx:txData>
              <cx:f>_xlchart.v2.1</cx:f>
              <cx:v>Total units sold</cx:v>
            </cx:txData>
          </cx:tx>
          <cx:spPr>
            <a:gradFill>
              <a:gsLst>
                <a:gs pos="47000">
                  <a:schemeClr val="accent1">
                    <a:lumMod val="75000"/>
                  </a:schemeClr>
                </a:gs>
                <a:gs pos="74000">
                  <a:schemeClr val="accent1">
                    <a:lumMod val="60000"/>
                    <a:lumOff val="40000"/>
                  </a:schemeClr>
                </a:gs>
                <a:gs pos="100000">
                  <a:schemeClr val="accent2">
                    <a:lumMod val="75000"/>
                  </a:schemeClr>
                </a:gs>
              </a:gsLst>
              <a:lin ang="0" scaled="1"/>
            </a:gradFill>
          </cx:spPr>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chemeClr val="bg2"/>
                </a:solidFill>
              </a:defRPr>
            </a:pPr>
            <a:endParaRPr lang="en-US" sz="900" b="0" i="0" u="none" strike="noStrike" baseline="0">
              <a:solidFill>
                <a:schemeClr val="bg2"/>
              </a:solidFill>
              <a:latin typeface="Calibri" panose="020F050202020403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title pos="t" align="ctr" overlay="0"/>
    <cx:plotArea>
      <cx:plotAreaRegion>
        <cx:series layoutId="funnel" uniqueId="{627EBCC6-BDA6-46E6-90C7-CA247FF2EB54}">
          <cx:tx>
            <cx:txData>
              <cx:f>_xlchart.v2.7</cx:f>
              <cx:v>Total units sold</cx:v>
            </cx:txData>
          </cx:tx>
          <cx:dataLabels>
            <cx:visibility seriesName="0" categoryName="0" value="1"/>
          </cx:dataLabels>
          <cx:dataId val="0"/>
        </cx:series>
      </cx:plotAreaRegion>
      <cx:axis id="1">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microsoft.com/office/2014/relationships/chartEx" Target="../charts/chartEx2.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251460</xdr:colOff>
      <xdr:row>2</xdr:row>
      <xdr:rowOff>7620</xdr:rowOff>
    </xdr:from>
    <xdr:to>
      <xdr:col>4</xdr:col>
      <xdr:colOff>586740</xdr:colOff>
      <xdr:row>5</xdr:row>
      <xdr:rowOff>152400</xdr:rowOff>
    </xdr:to>
    <xdr:sp macro="" textlink="">
      <xdr:nvSpPr>
        <xdr:cNvPr id="4" name="Rectangle: Rounded Corners 3">
          <a:extLst>
            <a:ext uri="{FF2B5EF4-FFF2-40B4-BE49-F238E27FC236}">
              <a16:creationId xmlns:a16="http://schemas.microsoft.com/office/drawing/2014/main" id="{BD093DC3-F395-4A1B-5B5C-7A2107A21DE5}"/>
            </a:ext>
          </a:extLst>
        </xdr:cNvPr>
        <xdr:cNvSpPr/>
      </xdr:nvSpPr>
      <xdr:spPr>
        <a:xfrm>
          <a:off x="861060" y="373380"/>
          <a:ext cx="2164080" cy="693420"/>
        </a:xfrm>
        <a:prstGeom prst="roundRect">
          <a:avLst/>
        </a:prstGeom>
        <a:gradFill flip="none" rotWithShape="1">
          <a:gsLst>
            <a:gs pos="0">
              <a:srgbClr val="002060"/>
            </a:gs>
            <a:gs pos="32000">
              <a:schemeClr val="accent5">
                <a:lumMod val="50000"/>
              </a:schemeClr>
            </a:gs>
            <a:gs pos="100000">
              <a:schemeClr val="accent5">
                <a:lumMod val="75000"/>
              </a:scheme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400" b="1">
            <a:solidFill>
              <a:schemeClr val="accent1">
                <a:lumMod val="20000"/>
                <a:lumOff val="80000"/>
              </a:schemeClr>
            </a:solidFill>
            <a:latin typeface="+mn-lt"/>
            <a:ea typeface="+mn-ea"/>
            <a:cs typeface="+mn-cs"/>
          </a:endParaRPr>
        </a:p>
      </xdr:txBody>
    </xdr:sp>
    <xdr:clientData/>
  </xdr:twoCellAnchor>
  <xdr:twoCellAnchor>
    <xdr:from>
      <xdr:col>5</xdr:col>
      <xdr:colOff>45720</xdr:colOff>
      <xdr:row>2</xdr:row>
      <xdr:rowOff>0</xdr:rowOff>
    </xdr:from>
    <xdr:to>
      <xdr:col>17</xdr:col>
      <xdr:colOff>457200</xdr:colOff>
      <xdr:row>5</xdr:row>
      <xdr:rowOff>144780</xdr:rowOff>
    </xdr:to>
    <xdr:sp macro="" textlink="">
      <xdr:nvSpPr>
        <xdr:cNvPr id="6" name="Rectangle: Rounded Corners 5">
          <a:extLst>
            <a:ext uri="{FF2B5EF4-FFF2-40B4-BE49-F238E27FC236}">
              <a16:creationId xmlns:a16="http://schemas.microsoft.com/office/drawing/2014/main" id="{F357971C-FF92-4718-A5FF-7E20865062AC}"/>
            </a:ext>
          </a:extLst>
        </xdr:cNvPr>
        <xdr:cNvSpPr/>
      </xdr:nvSpPr>
      <xdr:spPr>
        <a:xfrm>
          <a:off x="3093720" y="365760"/>
          <a:ext cx="7726680" cy="693420"/>
        </a:xfrm>
        <a:prstGeom prst="roundRect">
          <a:avLst/>
        </a:prstGeom>
        <a:gradFill flip="none" rotWithShape="1">
          <a:gsLst>
            <a:gs pos="0">
              <a:srgbClr val="002060"/>
            </a:gs>
            <a:gs pos="32000">
              <a:schemeClr val="accent5">
                <a:lumMod val="50000"/>
              </a:schemeClr>
            </a:gs>
            <a:gs pos="100000">
              <a:schemeClr val="accent5">
                <a:lumMod val="75000"/>
              </a:scheme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 </a:t>
          </a:r>
        </a:p>
      </xdr:txBody>
    </xdr:sp>
    <xdr:clientData/>
  </xdr:twoCellAnchor>
  <xdr:oneCellAnchor>
    <xdr:from>
      <xdr:col>5</xdr:col>
      <xdr:colOff>308610</xdr:colOff>
      <xdr:row>2</xdr:row>
      <xdr:rowOff>7620</xdr:rowOff>
    </xdr:from>
    <xdr:ext cx="1539240" cy="342786"/>
    <xdr:sp macro="" textlink="">
      <xdr:nvSpPr>
        <xdr:cNvPr id="7" name="TextBox 6">
          <a:extLst>
            <a:ext uri="{FF2B5EF4-FFF2-40B4-BE49-F238E27FC236}">
              <a16:creationId xmlns:a16="http://schemas.microsoft.com/office/drawing/2014/main" id="{CAE9871E-D37D-CD53-18A4-D0ABDABC3E3D}"/>
            </a:ext>
          </a:extLst>
        </xdr:cNvPr>
        <xdr:cNvSpPr txBox="1"/>
      </xdr:nvSpPr>
      <xdr:spPr>
        <a:xfrm>
          <a:off x="3356610" y="373380"/>
          <a:ext cx="153924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i="0">
              <a:solidFill>
                <a:schemeClr val="bg2">
                  <a:lumMod val="90000"/>
                </a:schemeClr>
              </a:solidFill>
              <a:effectLst/>
              <a:latin typeface="+mn-lt"/>
              <a:ea typeface="+mn-ea"/>
              <a:cs typeface="+mn-cs"/>
            </a:rPr>
            <a:t>Total</a:t>
          </a:r>
          <a:r>
            <a:rPr lang="en-US" sz="1600" b="1" i="0" baseline="0">
              <a:solidFill>
                <a:schemeClr val="bg2">
                  <a:lumMod val="90000"/>
                </a:schemeClr>
              </a:solidFill>
              <a:effectLst/>
              <a:latin typeface="+mn-lt"/>
              <a:ea typeface="+mn-ea"/>
              <a:cs typeface="+mn-cs"/>
            </a:rPr>
            <a:t> revenue</a:t>
          </a:r>
          <a:endParaRPr lang="en-US" sz="1600" b="1">
            <a:solidFill>
              <a:schemeClr val="bg2">
                <a:lumMod val="90000"/>
              </a:schemeClr>
            </a:solidFill>
            <a:effectLst/>
          </a:endParaRPr>
        </a:p>
      </xdr:txBody>
    </xdr:sp>
    <xdr:clientData/>
  </xdr:oneCellAnchor>
  <xdr:oneCellAnchor>
    <xdr:from>
      <xdr:col>5</xdr:col>
      <xdr:colOff>251460</xdr:colOff>
      <xdr:row>3</xdr:row>
      <xdr:rowOff>128698</xdr:rowOff>
    </xdr:from>
    <xdr:ext cx="1653540" cy="374141"/>
    <xdr:sp macro="" textlink="Sheet1!B5">
      <xdr:nvSpPr>
        <xdr:cNvPr id="9" name="TextBox 8">
          <a:extLst>
            <a:ext uri="{FF2B5EF4-FFF2-40B4-BE49-F238E27FC236}">
              <a16:creationId xmlns:a16="http://schemas.microsoft.com/office/drawing/2014/main" id="{B61EA1D9-A7A3-4B18-8BD8-323057BB9B7F}"/>
            </a:ext>
          </a:extLst>
        </xdr:cNvPr>
        <xdr:cNvSpPr txBox="1"/>
      </xdr:nvSpPr>
      <xdr:spPr>
        <a:xfrm>
          <a:off x="3299460" y="677338"/>
          <a:ext cx="165354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fld id="{82E0E334-9D4C-4C65-BF35-319E970CFF36}" type="TxLink">
            <a:rPr lang="en-US" sz="1800" b="1" i="0" u="none" strike="noStrike">
              <a:solidFill>
                <a:schemeClr val="bg1">
                  <a:lumMod val="95000"/>
                </a:schemeClr>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$45,113,000.00</a:t>
          </a:fld>
          <a:endParaRPr lang="en-US" sz="1800" b="1">
            <a:solidFill>
              <a:schemeClr val="bg1">
                <a:lumMod val="95000"/>
              </a:schemeClr>
            </a:solidFill>
            <a:effectLst/>
          </a:endParaRPr>
        </a:p>
      </xdr:txBody>
    </xdr:sp>
    <xdr:clientData/>
  </xdr:oneCellAnchor>
  <xdr:oneCellAnchor>
    <xdr:from>
      <xdr:col>8</xdr:col>
      <xdr:colOff>445770</xdr:colOff>
      <xdr:row>2</xdr:row>
      <xdr:rowOff>7620</xdr:rowOff>
    </xdr:from>
    <xdr:ext cx="1539240" cy="342786"/>
    <xdr:sp macro="" textlink="">
      <xdr:nvSpPr>
        <xdr:cNvPr id="10" name="TextBox 9">
          <a:extLst>
            <a:ext uri="{FF2B5EF4-FFF2-40B4-BE49-F238E27FC236}">
              <a16:creationId xmlns:a16="http://schemas.microsoft.com/office/drawing/2014/main" id="{7AB63409-AA61-42C1-9853-32A923CE50D6}"/>
            </a:ext>
          </a:extLst>
        </xdr:cNvPr>
        <xdr:cNvSpPr txBox="1"/>
      </xdr:nvSpPr>
      <xdr:spPr>
        <a:xfrm>
          <a:off x="5322570" y="373380"/>
          <a:ext cx="153924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i="0">
              <a:solidFill>
                <a:schemeClr val="bg2">
                  <a:lumMod val="90000"/>
                </a:schemeClr>
              </a:solidFill>
              <a:effectLst/>
              <a:latin typeface="+mn-lt"/>
              <a:ea typeface="+mn-ea"/>
              <a:cs typeface="+mn-cs"/>
            </a:rPr>
            <a:t>Total units sold</a:t>
          </a:r>
          <a:endParaRPr lang="en-US" sz="1600" b="1">
            <a:solidFill>
              <a:schemeClr val="bg2">
                <a:lumMod val="90000"/>
              </a:schemeClr>
            </a:solidFill>
            <a:effectLst/>
          </a:endParaRPr>
        </a:p>
      </xdr:txBody>
    </xdr:sp>
    <xdr:clientData/>
  </xdr:oneCellAnchor>
  <xdr:oneCellAnchor>
    <xdr:from>
      <xdr:col>8</xdr:col>
      <xdr:colOff>388620</xdr:colOff>
      <xdr:row>3</xdr:row>
      <xdr:rowOff>128698</xdr:rowOff>
    </xdr:from>
    <xdr:ext cx="1653540" cy="374141"/>
    <xdr:sp macro="" textlink="Sheet1!C5">
      <xdr:nvSpPr>
        <xdr:cNvPr id="11" name="TextBox 10">
          <a:extLst>
            <a:ext uri="{FF2B5EF4-FFF2-40B4-BE49-F238E27FC236}">
              <a16:creationId xmlns:a16="http://schemas.microsoft.com/office/drawing/2014/main" id="{FC680A4B-45EB-4E2D-85AE-B4012EB2FCDF}"/>
            </a:ext>
          </a:extLst>
        </xdr:cNvPr>
        <xdr:cNvSpPr txBox="1"/>
      </xdr:nvSpPr>
      <xdr:spPr>
        <a:xfrm>
          <a:off x="5265420" y="677338"/>
          <a:ext cx="165354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fld id="{0F98016A-1A43-459B-9339-F9F38F61FED3}" type="TxLink">
            <a:rPr lang="en-US" sz="1800" b="1" i="0" u="none" strike="noStrike">
              <a:solidFill>
                <a:schemeClr val="bg1">
                  <a:lumMod val="95000"/>
                </a:schemeClr>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542</a:t>
          </a:fld>
          <a:endParaRPr lang="en-US" sz="1800" b="1" i="0" u="none" strike="noStrike">
            <a:solidFill>
              <a:schemeClr val="bg1">
                <a:lumMod val="95000"/>
              </a:schemeClr>
            </a:solidFill>
            <a:effectLst/>
            <a:latin typeface="Calibri"/>
            <a:ea typeface="Calibri"/>
            <a:cs typeface="Calibri"/>
          </a:endParaRPr>
        </a:p>
      </xdr:txBody>
    </xdr:sp>
    <xdr:clientData/>
  </xdr:oneCellAnchor>
  <xdr:oneCellAnchor>
    <xdr:from>
      <xdr:col>11</xdr:col>
      <xdr:colOff>396240</xdr:colOff>
      <xdr:row>3</xdr:row>
      <xdr:rowOff>128698</xdr:rowOff>
    </xdr:from>
    <xdr:ext cx="1653540" cy="374141"/>
    <xdr:sp macro="" textlink="Sheet1!E5">
      <xdr:nvSpPr>
        <xdr:cNvPr id="12" name="TextBox 11">
          <a:extLst>
            <a:ext uri="{FF2B5EF4-FFF2-40B4-BE49-F238E27FC236}">
              <a16:creationId xmlns:a16="http://schemas.microsoft.com/office/drawing/2014/main" id="{3D19D061-3C28-4F8D-8B41-55A9E07CE120}"/>
            </a:ext>
          </a:extLst>
        </xdr:cNvPr>
        <xdr:cNvSpPr txBox="1"/>
      </xdr:nvSpPr>
      <xdr:spPr>
        <a:xfrm>
          <a:off x="7101840" y="677338"/>
          <a:ext cx="165354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fld id="{16370327-D069-4EC7-89EE-6754AB10FEF3}" type="TxLink">
            <a:rPr lang="en-US" sz="1800" b="1" i="0" u="none" strike="noStrike">
              <a:solidFill>
                <a:schemeClr val="bg1">
                  <a:lumMod val="95000"/>
                </a:schemeClr>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 $83,234.32 </a:t>
          </a:fld>
          <a:endParaRPr lang="en-US" sz="1800" b="1" i="0" u="none" strike="noStrike">
            <a:solidFill>
              <a:schemeClr val="bg1">
                <a:lumMod val="95000"/>
              </a:schemeClr>
            </a:solidFill>
            <a:effectLst/>
            <a:latin typeface="Calibri"/>
            <a:ea typeface="Calibri"/>
            <a:cs typeface="Calibri"/>
          </a:endParaRPr>
        </a:p>
      </xdr:txBody>
    </xdr:sp>
    <xdr:clientData/>
  </xdr:oneCellAnchor>
  <xdr:twoCellAnchor>
    <xdr:from>
      <xdr:col>11</xdr:col>
      <xdr:colOff>453390</xdr:colOff>
      <xdr:row>2</xdr:row>
      <xdr:rowOff>7620</xdr:rowOff>
    </xdr:from>
    <xdr:to>
      <xdr:col>14</xdr:col>
      <xdr:colOff>163830</xdr:colOff>
      <xdr:row>3</xdr:row>
      <xdr:rowOff>121920</xdr:rowOff>
    </xdr:to>
    <xdr:sp macro="" textlink="">
      <xdr:nvSpPr>
        <xdr:cNvPr id="16" name="TextBox 15">
          <a:extLst>
            <a:ext uri="{FF2B5EF4-FFF2-40B4-BE49-F238E27FC236}">
              <a16:creationId xmlns:a16="http://schemas.microsoft.com/office/drawing/2014/main" id="{193FDE03-CBB6-7228-DDAC-3CC57F66699E}"/>
            </a:ext>
          </a:extLst>
        </xdr:cNvPr>
        <xdr:cNvSpPr txBox="1"/>
      </xdr:nvSpPr>
      <xdr:spPr>
        <a:xfrm>
          <a:off x="7158990" y="373380"/>
          <a:ext cx="153924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a:solidFill>
                <a:schemeClr val="bg2">
                  <a:lumMod val="90000"/>
                </a:schemeClr>
              </a:solidFill>
              <a:effectLst/>
              <a:latin typeface="+mn-lt"/>
              <a:ea typeface="+mn-ea"/>
              <a:cs typeface="+mn-cs"/>
            </a:rPr>
            <a:t>avg</a:t>
          </a:r>
          <a:r>
            <a:rPr lang="en-US" sz="1600" b="0" i="0" u="none" strike="noStrike">
              <a:solidFill>
                <a:schemeClr val="dk1"/>
              </a:solidFill>
              <a:effectLst/>
              <a:latin typeface="+mn-lt"/>
              <a:ea typeface="+mn-ea"/>
              <a:cs typeface="+mn-cs"/>
            </a:rPr>
            <a:t> </a:t>
          </a:r>
          <a:r>
            <a:rPr lang="en-US" sz="1600" b="1" i="0">
              <a:solidFill>
                <a:schemeClr val="bg2">
                  <a:lumMod val="90000"/>
                </a:schemeClr>
              </a:solidFill>
              <a:effectLst/>
              <a:latin typeface="+mn-lt"/>
              <a:ea typeface="+mn-ea"/>
              <a:cs typeface="+mn-cs"/>
            </a:rPr>
            <a:t>order</a:t>
          </a:r>
          <a:r>
            <a:rPr lang="en-US" sz="1600" b="0" i="0" u="none" strike="noStrike">
              <a:solidFill>
                <a:schemeClr val="dk1"/>
              </a:solidFill>
              <a:effectLst/>
              <a:latin typeface="+mn-lt"/>
              <a:ea typeface="+mn-ea"/>
              <a:cs typeface="+mn-cs"/>
            </a:rPr>
            <a:t> </a:t>
          </a:r>
          <a:r>
            <a:rPr lang="en-US" sz="1600" b="1" i="0">
              <a:solidFill>
                <a:schemeClr val="bg2">
                  <a:lumMod val="90000"/>
                </a:schemeClr>
              </a:solidFill>
              <a:effectLst/>
              <a:latin typeface="+mn-lt"/>
              <a:ea typeface="+mn-ea"/>
              <a:cs typeface="+mn-cs"/>
            </a:rPr>
            <a:t>value</a:t>
          </a:r>
          <a:r>
            <a:rPr lang="en-US" sz="1600">
              <a:effectLst/>
            </a:rPr>
            <a:t> </a:t>
          </a:r>
          <a:endParaRPr lang="en-US" sz="1600"/>
        </a:p>
      </xdr:txBody>
    </xdr:sp>
    <xdr:clientData/>
  </xdr:twoCellAnchor>
  <xdr:twoCellAnchor>
    <xdr:from>
      <xdr:col>14</xdr:col>
      <xdr:colOff>537210</xdr:colOff>
      <xdr:row>2</xdr:row>
      <xdr:rowOff>7620</xdr:rowOff>
    </xdr:from>
    <xdr:to>
      <xdr:col>17</xdr:col>
      <xdr:colOff>247650</xdr:colOff>
      <xdr:row>3</xdr:row>
      <xdr:rowOff>121920</xdr:rowOff>
    </xdr:to>
    <xdr:sp macro="" textlink="">
      <xdr:nvSpPr>
        <xdr:cNvPr id="17" name="TextBox 16">
          <a:extLst>
            <a:ext uri="{FF2B5EF4-FFF2-40B4-BE49-F238E27FC236}">
              <a16:creationId xmlns:a16="http://schemas.microsoft.com/office/drawing/2014/main" id="{753544D9-4AA3-484A-AA1F-440186A769AB}"/>
            </a:ext>
          </a:extLst>
        </xdr:cNvPr>
        <xdr:cNvSpPr txBox="1"/>
      </xdr:nvSpPr>
      <xdr:spPr>
        <a:xfrm>
          <a:off x="9071610" y="373380"/>
          <a:ext cx="153924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a:solidFill>
                <a:schemeClr val="bg2">
                  <a:lumMod val="90000"/>
                </a:schemeClr>
              </a:solidFill>
              <a:effectLst/>
              <a:latin typeface="+mn-lt"/>
              <a:ea typeface="+mn-ea"/>
              <a:cs typeface="+mn-cs"/>
            </a:rPr>
            <a:t>Total</a:t>
          </a:r>
          <a:r>
            <a:rPr lang="en-US" sz="1600" b="1" i="0" u="none" strike="noStrike">
              <a:solidFill>
                <a:schemeClr val="dk1"/>
              </a:solidFill>
              <a:effectLst/>
              <a:latin typeface="+mn-lt"/>
              <a:ea typeface="+mn-ea"/>
              <a:cs typeface="+mn-cs"/>
            </a:rPr>
            <a:t> </a:t>
          </a:r>
          <a:r>
            <a:rPr lang="en-US" sz="1600" b="1" i="0">
              <a:solidFill>
                <a:schemeClr val="bg2">
                  <a:lumMod val="90000"/>
                </a:schemeClr>
              </a:solidFill>
              <a:effectLst/>
              <a:latin typeface="+mn-lt"/>
              <a:ea typeface="+mn-ea"/>
              <a:cs typeface="+mn-cs"/>
            </a:rPr>
            <a:t>orders</a:t>
          </a:r>
          <a:r>
            <a:rPr lang="en-US" sz="1600">
              <a:effectLst/>
            </a:rPr>
            <a:t> </a:t>
          </a:r>
          <a:endParaRPr lang="en-US" sz="1600"/>
        </a:p>
      </xdr:txBody>
    </xdr:sp>
    <xdr:clientData/>
  </xdr:twoCellAnchor>
  <xdr:oneCellAnchor>
    <xdr:from>
      <xdr:col>14</xdr:col>
      <xdr:colOff>480060</xdr:colOff>
      <xdr:row>3</xdr:row>
      <xdr:rowOff>128698</xdr:rowOff>
    </xdr:from>
    <xdr:ext cx="1653540" cy="374141"/>
    <xdr:sp macro="" textlink="Sheet1!D5">
      <xdr:nvSpPr>
        <xdr:cNvPr id="18" name="TextBox 17">
          <a:extLst>
            <a:ext uri="{FF2B5EF4-FFF2-40B4-BE49-F238E27FC236}">
              <a16:creationId xmlns:a16="http://schemas.microsoft.com/office/drawing/2014/main" id="{8212B8E8-BC70-4DD8-B3FB-3CEDCB34F638}"/>
            </a:ext>
          </a:extLst>
        </xdr:cNvPr>
        <xdr:cNvSpPr txBox="1"/>
      </xdr:nvSpPr>
      <xdr:spPr>
        <a:xfrm>
          <a:off x="9014460" y="677338"/>
          <a:ext cx="165354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fld id="{649FD35E-4CF4-4D0F-84E4-CD580D173FD3}" type="TxLink">
            <a:rPr lang="en-US" sz="1800" b="1" i="0" u="none" strike="noStrike">
              <a:solidFill>
                <a:schemeClr val="bg1">
                  <a:lumMod val="95000"/>
                </a:schemeClr>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100</a:t>
          </a:fld>
          <a:endParaRPr lang="en-US" sz="1800" b="1" i="0" u="none" strike="noStrike">
            <a:solidFill>
              <a:schemeClr val="bg1">
                <a:lumMod val="95000"/>
              </a:schemeClr>
            </a:solidFill>
            <a:effectLst/>
            <a:latin typeface="Calibri"/>
            <a:ea typeface="Calibri"/>
            <a:cs typeface="Calibri"/>
          </a:endParaRPr>
        </a:p>
      </xdr:txBody>
    </xdr:sp>
    <xdr:clientData/>
  </xdr:oneCellAnchor>
  <xdr:twoCellAnchor>
    <xdr:from>
      <xdr:col>4</xdr:col>
      <xdr:colOff>556260</xdr:colOff>
      <xdr:row>5</xdr:row>
      <xdr:rowOff>152400</xdr:rowOff>
    </xdr:from>
    <xdr:to>
      <xdr:col>11</xdr:col>
      <xdr:colOff>243840</xdr:colOff>
      <xdr:row>16</xdr:row>
      <xdr:rowOff>137160</xdr:rowOff>
    </xdr:to>
    <xdr:grpSp>
      <xdr:nvGrpSpPr>
        <xdr:cNvPr id="24" name="Group 23">
          <a:extLst>
            <a:ext uri="{FF2B5EF4-FFF2-40B4-BE49-F238E27FC236}">
              <a16:creationId xmlns:a16="http://schemas.microsoft.com/office/drawing/2014/main" id="{F8B9E175-3A0F-E354-0798-B43600ABB7D9}"/>
            </a:ext>
          </a:extLst>
        </xdr:cNvPr>
        <xdr:cNvGrpSpPr/>
      </xdr:nvGrpSpPr>
      <xdr:grpSpPr>
        <a:xfrm>
          <a:off x="2994660" y="1066800"/>
          <a:ext cx="3954780" cy="1996440"/>
          <a:chOff x="3162300" y="1150620"/>
          <a:chExt cx="3954780" cy="2019300"/>
        </a:xfrm>
      </xdr:grpSpPr>
      <xdr:grpSp>
        <xdr:nvGrpSpPr>
          <xdr:cNvPr id="23" name="Group 22">
            <a:extLst>
              <a:ext uri="{FF2B5EF4-FFF2-40B4-BE49-F238E27FC236}">
                <a16:creationId xmlns:a16="http://schemas.microsoft.com/office/drawing/2014/main" id="{EF136A8C-E91A-EBC6-C308-76DB655F0238}"/>
              </a:ext>
            </a:extLst>
          </xdr:cNvPr>
          <xdr:cNvGrpSpPr/>
        </xdr:nvGrpSpPr>
        <xdr:grpSpPr>
          <a:xfrm>
            <a:off x="3253740" y="1158240"/>
            <a:ext cx="3863340" cy="2011680"/>
            <a:chOff x="3162300" y="1150620"/>
            <a:chExt cx="3749040" cy="2011680"/>
          </a:xfrm>
        </xdr:grpSpPr>
        <xdr:sp macro="" textlink="">
          <xdr:nvSpPr>
            <xdr:cNvPr id="20" name="Rectangle 19">
              <a:extLst>
                <a:ext uri="{FF2B5EF4-FFF2-40B4-BE49-F238E27FC236}">
                  <a16:creationId xmlns:a16="http://schemas.microsoft.com/office/drawing/2014/main" id="{E511BB90-FC68-6D69-44C8-B4CB9DD5BF0A}"/>
                </a:ext>
              </a:extLst>
            </xdr:cNvPr>
            <xdr:cNvSpPr/>
          </xdr:nvSpPr>
          <xdr:spPr>
            <a:xfrm>
              <a:off x="3162300" y="1150620"/>
              <a:ext cx="3749040" cy="2011680"/>
            </a:xfrm>
            <a:prstGeom prst="rect">
              <a:avLst/>
            </a:prstGeom>
            <a:gradFill flip="none" rotWithShape="1">
              <a:gsLst>
                <a:gs pos="0">
                  <a:srgbClr val="002060"/>
                </a:gs>
                <a:gs pos="32000">
                  <a:schemeClr val="accent5">
                    <a:lumMod val="50000"/>
                  </a:schemeClr>
                </a:gs>
                <a:gs pos="100000">
                  <a:schemeClr val="accent5">
                    <a:lumMod val="75000"/>
                  </a:scheme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aphicFrame macro="">
          <xdr:nvGraphicFramePr>
            <xdr:cNvPr id="21" name="Chart 20">
              <a:extLst>
                <a:ext uri="{FF2B5EF4-FFF2-40B4-BE49-F238E27FC236}">
                  <a16:creationId xmlns:a16="http://schemas.microsoft.com/office/drawing/2014/main" id="{F0BD9831-C8FF-47B9-B534-C52ADC4BDD1C}"/>
                </a:ext>
              </a:extLst>
            </xdr:cNvPr>
            <xdr:cNvGraphicFramePr>
              <a:graphicFrameLocks/>
            </xdr:cNvGraphicFramePr>
          </xdr:nvGraphicFramePr>
          <xdr:xfrm>
            <a:off x="3162300" y="1402080"/>
            <a:ext cx="3733800" cy="1722120"/>
          </xdr:xfrm>
          <a:graphic>
            <a:graphicData uri="http://schemas.openxmlformats.org/drawingml/2006/chart">
              <c:chart xmlns:c="http://schemas.openxmlformats.org/drawingml/2006/chart" xmlns:r="http://schemas.openxmlformats.org/officeDocument/2006/relationships" r:id="rId1"/>
            </a:graphicData>
          </a:graphic>
        </xdr:graphicFrame>
      </xdr:grpSp>
      <xdr:sp macro="" textlink="">
        <xdr:nvSpPr>
          <xdr:cNvPr id="22" name="TextBox 21">
            <a:extLst>
              <a:ext uri="{FF2B5EF4-FFF2-40B4-BE49-F238E27FC236}">
                <a16:creationId xmlns:a16="http://schemas.microsoft.com/office/drawing/2014/main" id="{CB1D167A-E36A-4700-BCD0-F0B877BA13D3}"/>
              </a:ext>
            </a:extLst>
          </xdr:cNvPr>
          <xdr:cNvSpPr txBox="1"/>
        </xdr:nvSpPr>
        <xdr:spPr>
          <a:xfrm>
            <a:off x="3162300" y="1150620"/>
            <a:ext cx="241554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i="0">
                <a:solidFill>
                  <a:schemeClr val="bg2">
                    <a:lumMod val="90000"/>
                  </a:schemeClr>
                </a:solidFill>
                <a:effectLst/>
                <a:latin typeface="+mn-lt"/>
                <a:ea typeface="+mn-ea"/>
                <a:cs typeface="+mn-cs"/>
              </a:rPr>
              <a:t>Daily trend of total sales</a:t>
            </a:r>
          </a:p>
        </xdr:txBody>
      </xdr:sp>
    </xdr:grpSp>
    <xdr:clientData/>
  </xdr:twoCellAnchor>
  <xdr:twoCellAnchor>
    <xdr:from>
      <xdr:col>11</xdr:col>
      <xdr:colOff>182880</xdr:colOff>
      <xdr:row>5</xdr:row>
      <xdr:rowOff>152400</xdr:rowOff>
    </xdr:from>
    <xdr:to>
      <xdr:col>17</xdr:col>
      <xdr:colOff>472440</xdr:colOff>
      <xdr:row>16</xdr:row>
      <xdr:rowOff>137160</xdr:rowOff>
    </xdr:to>
    <xdr:grpSp>
      <xdr:nvGrpSpPr>
        <xdr:cNvPr id="31" name="Group 30">
          <a:extLst>
            <a:ext uri="{FF2B5EF4-FFF2-40B4-BE49-F238E27FC236}">
              <a16:creationId xmlns:a16="http://schemas.microsoft.com/office/drawing/2014/main" id="{7B356D3B-264D-B071-3EAB-77B1BB94B25F}"/>
            </a:ext>
          </a:extLst>
        </xdr:cNvPr>
        <xdr:cNvGrpSpPr/>
      </xdr:nvGrpSpPr>
      <xdr:grpSpPr>
        <a:xfrm>
          <a:off x="6888480" y="1066800"/>
          <a:ext cx="3947160" cy="1996440"/>
          <a:chOff x="6957060" y="1112520"/>
          <a:chExt cx="3954780" cy="2019300"/>
        </a:xfrm>
      </xdr:grpSpPr>
      <xdr:sp macro="" textlink="">
        <xdr:nvSpPr>
          <xdr:cNvPr id="28" name="Rectangle 27">
            <a:extLst>
              <a:ext uri="{FF2B5EF4-FFF2-40B4-BE49-F238E27FC236}">
                <a16:creationId xmlns:a16="http://schemas.microsoft.com/office/drawing/2014/main" id="{2BA2E49D-B2FC-4441-DD9A-8998B5B7C628}"/>
              </a:ext>
            </a:extLst>
          </xdr:cNvPr>
          <xdr:cNvSpPr/>
        </xdr:nvSpPr>
        <xdr:spPr>
          <a:xfrm>
            <a:off x="7048500" y="1120140"/>
            <a:ext cx="3863340" cy="2011680"/>
          </a:xfrm>
          <a:prstGeom prst="rect">
            <a:avLst/>
          </a:prstGeom>
          <a:gradFill flip="none" rotWithShape="1">
            <a:gsLst>
              <a:gs pos="0">
                <a:srgbClr val="002060"/>
              </a:gs>
              <a:gs pos="32000">
                <a:schemeClr val="accent5">
                  <a:lumMod val="50000"/>
                </a:schemeClr>
              </a:gs>
              <a:gs pos="100000">
                <a:schemeClr val="accent5">
                  <a:lumMod val="75000"/>
                </a:scheme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27" name="TextBox 26">
            <a:extLst>
              <a:ext uri="{FF2B5EF4-FFF2-40B4-BE49-F238E27FC236}">
                <a16:creationId xmlns:a16="http://schemas.microsoft.com/office/drawing/2014/main" id="{DDE107E9-E2D8-56AD-569E-EE355744F5E7}"/>
              </a:ext>
            </a:extLst>
          </xdr:cNvPr>
          <xdr:cNvSpPr txBox="1"/>
        </xdr:nvSpPr>
        <xdr:spPr>
          <a:xfrm>
            <a:off x="6957060" y="1112520"/>
            <a:ext cx="264414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i="0">
                <a:solidFill>
                  <a:schemeClr val="bg2">
                    <a:lumMod val="90000"/>
                  </a:schemeClr>
                </a:solidFill>
                <a:effectLst/>
                <a:latin typeface="+mn-lt"/>
                <a:ea typeface="+mn-ea"/>
                <a:cs typeface="+mn-cs"/>
              </a:rPr>
              <a:t>Monthly trend of total sales</a:t>
            </a:r>
          </a:p>
        </xdr:txBody>
      </xdr:sp>
      <xdr:graphicFrame macro="">
        <xdr:nvGraphicFramePr>
          <xdr:cNvPr id="30" name="Chart 29">
            <a:extLst>
              <a:ext uri="{FF2B5EF4-FFF2-40B4-BE49-F238E27FC236}">
                <a16:creationId xmlns:a16="http://schemas.microsoft.com/office/drawing/2014/main" id="{CC5D0148-31D4-47D8-9C0E-4BF0E026975B}"/>
              </a:ext>
            </a:extLst>
          </xdr:cNvPr>
          <xdr:cNvGraphicFramePr>
            <a:graphicFrameLocks/>
          </xdr:cNvGraphicFramePr>
        </xdr:nvGraphicFramePr>
        <xdr:xfrm>
          <a:off x="7048500" y="1249680"/>
          <a:ext cx="3848100" cy="185928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4</xdr:col>
      <xdr:colOff>358140</xdr:colOff>
      <xdr:row>16</xdr:row>
      <xdr:rowOff>142840</xdr:rowOff>
    </xdr:from>
    <xdr:to>
      <xdr:col>11</xdr:col>
      <xdr:colOff>243840</xdr:colOff>
      <xdr:row>27</xdr:row>
      <xdr:rowOff>137160</xdr:rowOff>
    </xdr:to>
    <xdr:grpSp>
      <xdr:nvGrpSpPr>
        <xdr:cNvPr id="39" name="Group 38">
          <a:extLst>
            <a:ext uri="{FF2B5EF4-FFF2-40B4-BE49-F238E27FC236}">
              <a16:creationId xmlns:a16="http://schemas.microsoft.com/office/drawing/2014/main" id="{7B007B5E-9798-CEE0-20C7-E60002301A3E}"/>
            </a:ext>
          </a:extLst>
        </xdr:cNvPr>
        <xdr:cNvGrpSpPr/>
      </xdr:nvGrpSpPr>
      <xdr:grpSpPr>
        <a:xfrm>
          <a:off x="2796540" y="3068920"/>
          <a:ext cx="4152900" cy="2006000"/>
          <a:chOff x="2781300" y="3167980"/>
          <a:chExt cx="4152900" cy="2006000"/>
        </a:xfrm>
      </xdr:grpSpPr>
      <xdr:sp macro="" textlink="">
        <xdr:nvSpPr>
          <xdr:cNvPr id="35" name="Rectangle 34">
            <a:extLst>
              <a:ext uri="{FF2B5EF4-FFF2-40B4-BE49-F238E27FC236}">
                <a16:creationId xmlns:a16="http://schemas.microsoft.com/office/drawing/2014/main" id="{2D6CD42B-B7C6-F19D-1815-108C7A60C8B3}"/>
              </a:ext>
            </a:extLst>
          </xdr:cNvPr>
          <xdr:cNvSpPr/>
        </xdr:nvSpPr>
        <xdr:spPr>
          <a:xfrm>
            <a:off x="3070860" y="3185074"/>
            <a:ext cx="3863340" cy="1988906"/>
          </a:xfrm>
          <a:prstGeom prst="rect">
            <a:avLst/>
          </a:prstGeom>
          <a:gradFill flip="none" rotWithShape="1">
            <a:gsLst>
              <a:gs pos="0">
                <a:srgbClr val="002060"/>
              </a:gs>
              <a:gs pos="32000">
                <a:schemeClr val="accent5">
                  <a:lumMod val="50000"/>
                </a:schemeClr>
              </a:gs>
              <a:gs pos="100000">
                <a:schemeClr val="accent5">
                  <a:lumMod val="75000"/>
                </a:scheme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34" name="TextBox 33">
            <a:extLst>
              <a:ext uri="{FF2B5EF4-FFF2-40B4-BE49-F238E27FC236}">
                <a16:creationId xmlns:a16="http://schemas.microsoft.com/office/drawing/2014/main" id="{3759E547-A6F4-532D-C087-FA4B2D27BB97}"/>
              </a:ext>
            </a:extLst>
          </xdr:cNvPr>
          <xdr:cNvSpPr txBox="1"/>
        </xdr:nvSpPr>
        <xdr:spPr>
          <a:xfrm>
            <a:off x="2781300" y="3167980"/>
            <a:ext cx="241554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i="0">
                <a:solidFill>
                  <a:schemeClr val="bg2">
                    <a:lumMod val="90000"/>
                  </a:schemeClr>
                </a:solidFill>
                <a:effectLst/>
                <a:latin typeface="+mn-lt"/>
                <a:ea typeface="+mn-ea"/>
                <a:cs typeface="+mn-cs"/>
              </a:rPr>
              <a:t>Revenue by Region </a:t>
            </a:r>
          </a:p>
        </xdr:txBody>
      </xdr:sp>
      <xdr:graphicFrame macro="">
        <xdr:nvGraphicFramePr>
          <xdr:cNvPr id="37" name="Chart 36">
            <a:extLst>
              <a:ext uri="{FF2B5EF4-FFF2-40B4-BE49-F238E27FC236}">
                <a16:creationId xmlns:a16="http://schemas.microsoft.com/office/drawing/2014/main" id="{130D84A6-5FE7-4154-9A59-9C5EC9D611E4}"/>
              </a:ext>
            </a:extLst>
          </xdr:cNvPr>
          <xdr:cNvGraphicFramePr>
            <a:graphicFrameLocks/>
          </xdr:cNvGraphicFramePr>
        </xdr:nvGraphicFramePr>
        <xdr:xfrm>
          <a:off x="2994660" y="3406140"/>
          <a:ext cx="3886200" cy="172212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11</xdr:col>
      <xdr:colOff>7620</xdr:colOff>
      <xdr:row>16</xdr:row>
      <xdr:rowOff>152400</xdr:rowOff>
    </xdr:from>
    <xdr:to>
      <xdr:col>17</xdr:col>
      <xdr:colOff>480060</xdr:colOff>
      <xdr:row>27</xdr:row>
      <xdr:rowOff>129626</xdr:rowOff>
    </xdr:to>
    <xdr:grpSp>
      <xdr:nvGrpSpPr>
        <xdr:cNvPr id="42" name="Group 41">
          <a:extLst>
            <a:ext uri="{FF2B5EF4-FFF2-40B4-BE49-F238E27FC236}">
              <a16:creationId xmlns:a16="http://schemas.microsoft.com/office/drawing/2014/main" id="{B976D997-4F40-C728-2A6C-5776BAAB5FFE}"/>
            </a:ext>
          </a:extLst>
        </xdr:cNvPr>
        <xdr:cNvGrpSpPr/>
      </xdr:nvGrpSpPr>
      <xdr:grpSpPr>
        <a:xfrm>
          <a:off x="6713220" y="3078480"/>
          <a:ext cx="4130040" cy="1988906"/>
          <a:chOff x="6896100" y="3185160"/>
          <a:chExt cx="4122420" cy="1988906"/>
        </a:xfrm>
      </xdr:grpSpPr>
      <xdr:sp macro="" textlink="">
        <xdr:nvSpPr>
          <xdr:cNvPr id="38" name="Rectangle 37">
            <a:extLst>
              <a:ext uri="{FF2B5EF4-FFF2-40B4-BE49-F238E27FC236}">
                <a16:creationId xmlns:a16="http://schemas.microsoft.com/office/drawing/2014/main" id="{E26D9C2A-8B92-4AB7-8458-2EEE0DAD0C4E}"/>
              </a:ext>
            </a:extLst>
          </xdr:cNvPr>
          <xdr:cNvSpPr/>
        </xdr:nvSpPr>
        <xdr:spPr>
          <a:xfrm>
            <a:off x="7155180" y="3185160"/>
            <a:ext cx="3863340" cy="1988906"/>
          </a:xfrm>
          <a:prstGeom prst="rect">
            <a:avLst/>
          </a:prstGeom>
          <a:gradFill flip="none" rotWithShape="1">
            <a:gsLst>
              <a:gs pos="0">
                <a:srgbClr val="002060"/>
              </a:gs>
              <a:gs pos="32000">
                <a:schemeClr val="accent5">
                  <a:lumMod val="50000"/>
                </a:schemeClr>
              </a:gs>
              <a:gs pos="100000">
                <a:schemeClr val="accent5">
                  <a:lumMod val="75000"/>
                </a:scheme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40" name="TextBox 39">
            <a:extLst>
              <a:ext uri="{FF2B5EF4-FFF2-40B4-BE49-F238E27FC236}">
                <a16:creationId xmlns:a16="http://schemas.microsoft.com/office/drawing/2014/main" id="{E701A7D4-DFED-481B-AB9B-3A91F9667D2C}"/>
              </a:ext>
            </a:extLst>
          </xdr:cNvPr>
          <xdr:cNvSpPr txBox="1"/>
        </xdr:nvSpPr>
        <xdr:spPr>
          <a:xfrm>
            <a:off x="6896100" y="3215640"/>
            <a:ext cx="241554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i="0">
                <a:solidFill>
                  <a:schemeClr val="bg2">
                    <a:lumMod val="90000"/>
                  </a:schemeClr>
                </a:solidFill>
                <a:effectLst/>
                <a:latin typeface="+mn-lt"/>
                <a:ea typeface="+mn-ea"/>
                <a:cs typeface="+mn-cs"/>
              </a:rPr>
              <a:t>Revenue by Region </a:t>
            </a:r>
          </a:p>
        </xdr:txBody>
      </xdr:sp>
      <xdr:graphicFrame macro="">
        <xdr:nvGraphicFramePr>
          <xdr:cNvPr id="41" name="Chart 40">
            <a:extLst>
              <a:ext uri="{FF2B5EF4-FFF2-40B4-BE49-F238E27FC236}">
                <a16:creationId xmlns:a16="http://schemas.microsoft.com/office/drawing/2014/main" id="{C240437C-8F04-46E9-87EF-2E1624ABD401}"/>
              </a:ext>
            </a:extLst>
          </xdr:cNvPr>
          <xdr:cNvGraphicFramePr>
            <a:graphicFrameLocks/>
          </xdr:cNvGraphicFramePr>
        </xdr:nvGraphicFramePr>
        <xdr:xfrm>
          <a:off x="7139940" y="3474720"/>
          <a:ext cx="3413760" cy="166116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5</xdr:col>
      <xdr:colOff>30480</xdr:colOff>
      <xdr:row>27</xdr:row>
      <xdr:rowOff>137160</xdr:rowOff>
    </xdr:from>
    <xdr:to>
      <xdr:col>11</xdr:col>
      <xdr:colOff>243840</xdr:colOff>
      <xdr:row>40</xdr:row>
      <xdr:rowOff>160020</xdr:rowOff>
    </xdr:to>
    <xdr:grpSp>
      <xdr:nvGrpSpPr>
        <xdr:cNvPr id="49" name="Group 48">
          <a:extLst>
            <a:ext uri="{FF2B5EF4-FFF2-40B4-BE49-F238E27FC236}">
              <a16:creationId xmlns:a16="http://schemas.microsoft.com/office/drawing/2014/main" id="{FBF1C606-6F01-9657-38E3-951FD3996D25}"/>
            </a:ext>
          </a:extLst>
        </xdr:cNvPr>
        <xdr:cNvGrpSpPr/>
      </xdr:nvGrpSpPr>
      <xdr:grpSpPr>
        <a:xfrm>
          <a:off x="3078480" y="5074920"/>
          <a:ext cx="3870960" cy="2400300"/>
          <a:chOff x="2979420" y="5234940"/>
          <a:chExt cx="3863340" cy="1996440"/>
        </a:xfrm>
      </xdr:grpSpPr>
      <xdr:sp macro="" textlink="">
        <xdr:nvSpPr>
          <xdr:cNvPr id="46" name="Rectangle 45">
            <a:extLst>
              <a:ext uri="{FF2B5EF4-FFF2-40B4-BE49-F238E27FC236}">
                <a16:creationId xmlns:a16="http://schemas.microsoft.com/office/drawing/2014/main" id="{68A2F1D2-1D01-7F33-2740-5675FFC3BB7D}"/>
              </a:ext>
            </a:extLst>
          </xdr:cNvPr>
          <xdr:cNvSpPr/>
        </xdr:nvSpPr>
        <xdr:spPr>
          <a:xfrm>
            <a:off x="2979420" y="5242474"/>
            <a:ext cx="3863340" cy="1988906"/>
          </a:xfrm>
          <a:prstGeom prst="rect">
            <a:avLst/>
          </a:prstGeom>
          <a:gradFill flip="none" rotWithShape="1">
            <a:gsLst>
              <a:gs pos="0">
                <a:srgbClr val="002060"/>
              </a:gs>
              <a:gs pos="32000">
                <a:schemeClr val="accent5">
                  <a:lumMod val="50000"/>
                </a:schemeClr>
              </a:gs>
              <a:gs pos="100000">
                <a:schemeClr val="accent5">
                  <a:lumMod val="75000"/>
                </a:scheme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45" name="TextBox 44">
            <a:extLst>
              <a:ext uri="{FF2B5EF4-FFF2-40B4-BE49-F238E27FC236}">
                <a16:creationId xmlns:a16="http://schemas.microsoft.com/office/drawing/2014/main" id="{4C13A429-1466-72EF-5192-DD7565827D73}"/>
              </a:ext>
            </a:extLst>
          </xdr:cNvPr>
          <xdr:cNvSpPr txBox="1"/>
        </xdr:nvSpPr>
        <xdr:spPr>
          <a:xfrm>
            <a:off x="3032760" y="5234940"/>
            <a:ext cx="1905000" cy="3389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lang="en-US" sz="1600" b="1" i="0">
                <a:solidFill>
                  <a:schemeClr val="bg2">
                    <a:lumMod val="90000"/>
                  </a:schemeClr>
                </a:solidFill>
                <a:effectLst/>
                <a:latin typeface="+mn-lt"/>
                <a:ea typeface="+mn-ea"/>
                <a:cs typeface="+mn-cs"/>
              </a:rPr>
              <a:t>Trend of total sales</a:t>
            </a:r>
          </a:p>
        </xdr:txBody>
      </xdr:sp>
      <mc:AlternateContent xmlns:mc="http://schemas.openxmlformats.org/markup-compatibility/2006">
        <mc:Choice xmlns:cx2="http://schemas.microsoft.com/office/drawing/2015/10/21/chartex" Requires="cx2">
          <xdr:graphicFrame macro="">
            <xdr:nvGraphicFramePr>
              <xdr:cNvPr id="48" name="Chart 47">
                <a:extLst>
                  <a:ext uri="{FF2B5EF4-FFF2-40B4-BE49-F238E27FC236}">
                    <a16:creationId xmlns:a16="http://schemas.microsoft.com/office/drawing/2014/main" id="{D35EC15F-121B-47DC-91BF-E289AFF4EDF7}"/>
                  </a:ext>
                </a:extLst>
              </xdr:cNvPr>
              <xdr:cNvGraphicFramePr/>
            </xdr:nvGraphicFramePr>
            <xdr:xfrm>
              <a:off x="3230880" y="5516794"/>
              <a:ext cx="3291840" cy="161925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3230880" y="5516794"/>
                <a:ext cx="3291840" cy="16192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11</xdr:col>
      <xdr:colOff>251460</xdr:colOff>
      <xdr:row>27</xdr:row>
      <xdr:rowOff>129540</xdr:rowOff>
    </xdr:from>
    <xdr:to>
      <xdr:col>17</xdr:col>
      <xdr:colOff>487680</xdr:colOff>
      <xdr:row>41</xdr:row>
      <xdr:rowOff>53340</xdr:rowOff>
    </xdr:to>
    <xdr:grpSp>
      <xdr:nvGrpSpPr>
        <xdr:cNvPr id="55" name="Group 54">
          <a:extLst>
            <a:ext uri="{FF2B5EF4-FFF2-40B4-BE49-F238E27FC236}">
              <a16:creationId xmlns:a16="http://schemas.microsoft.com/office/drawing/2014/main" id="{43B4BCDA-2D62-BA66-FDF3-C2DB741EE571}"/>
            </a:ext>
          </a:extLst>
        </xdr:cNvPr>
        <xdr:cNvGrpSpPr/>
      </xdr:nvGrpSpPr>
      <xdr:grpSpPr>
        <a:xfrm>
          <a:off x="6957060" y="5067300"/>
          <a:ext cx="3893820" cy="2484120"/>
          <a:chOff x="7315200" y="5303520"/>
          <a:chExt cx="3863340" cy="2061124"/>
        </a:xfrm>
      </xdr:grpSpPr>
      <xdr:sp macro="" textlink="">
        <xdr:nvSpPr>
          <xdr:cNvPr id="51" name="Rectangle 50">
            <a:extLst>
              <a:ext uri="{FF2B5EF4-FFF2-40B4-BE49-F238E27FC236}">
                <a16:creationId xmlns:a16="http://schemas.microsoft.com/office/drawing/2014/main" id="{23B492A6-7F82-8DE7-949C-E058D6B5DAAE}"/>
              </a:ext>
            </a:extLst>
          </xdr:cNvPr>
          <xdr:cNvSpPr/>
        </xdr:nvSpPr>
        <xdr:spPr>
          <a:xfrm>
            <a:off x="7315200" y="5311054"/>
            <a:ext cx="3863340" cy="1988906"/>
          </a:xfrm>
          <a:prstGeom prst="rect">
            <a:avLst/>
          </a:prstGeom>
          <a:gradFill flip="none" rotWithShape="1">
            <a:gsLst>
              <a:gs pos="0">
                <a:srgbClr val="002060"/>
              </a:gs>
              <a:gs pos="32000">
                <a:schemeClr val="accent5">
                  <a:lumMod val="50000"/>
                </a:schemeClr>
              </a:gs>
              <a:gs pos="100000">
                <a:schemeClr val="accent5">
                  <a:lumMod val="75000"/>
                </a:scheme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52" name="TextBox 51">
            <a:extLst>
              <a:ext uri="{FF2B5EF4-FFF2-40B4-BE49-F238E27FC236}">
                <a16:creationId xmlns:a16="http://schemas.microsoft.com/office/drawing/2014/main" id="{673131DD-C654-960B-6764-77326E9D44F8}"/>
              </a:ext>
            </a:extLst>
          </xdr:cNvPr>
          <xdr:cNvSpPr txBox="1"/>
        </xdr:nvSpPr>
        <xdr:spPr>
          <a:xfrm>
            <a:off x="7368540" y="5303520"/>
            <a:ext cx="2042160" cy="3389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lang="en-US" sz="1600" b="1" i="0">
                <a:solidFill>
                  <a:schemeClr val="bg2">
                    <a:lumMod val="90000"/>
                  </a:schemeClr>
                </a:solidFill>
                <a:effectLst/>
                <a:latin typeface="+mn-lt"/>
                <a:ea typeface="+mn-ea"/>
                <a:cs typeface="+mn-cs"/>
              </a:rPr>
              <a:t>Top product of  sales</a:t>
            </a:r>
          </a:p>
        </xdr:txBody>
      </xdr:sp>
      <xdr:graphicFrame macro="">
        <xdr:nvGraphicFramePr>
          <xdr:cNvPr id="54" name="Chart 53">
            <a:extLst>
              <a:ext uri="{FF2B5EF4-FFF2-40B4-BE49-F238E27FC236}">
                <a16:creationId xmlns:a16="http://schemas.microsoft.com/office/drawing/2014/main" id="{6C9844FF-0FB6-43B4-A334-8B97F58C91AD}"/>
              </a:ext>
            </a:extLst>
          </xdr:cNvPr>
          <xdr:cNvGraphicFramePr>
            <a:graphicFrameLocks/>
          </xdr:cNvGraphicFramePr>
        </xdr:nvGraphicFramePr>
        <xdr:xfrm>
          <a:off x="7338060" y="5539740"/>
          <a:ext cx="3779520" cy="1824904"/>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xdr:col>
      <xdr:colOff>281940</xdr:colOff>
      <xdr:row>6</xdr:row>
      <xdr:rowOff>0</xdr:rowOff>
    </xdr:from>
    <xdr:to>
      <xdr:col>5</xdr:col>
      <xdr:colOff>7620</xdr:colOff>
      <xdr:row>14</xdr:row>
      <xdr:rowOff>0</xdr:rowOff>
    </xdr:to>
    <xdr:sp macro="" textlink="">
      <xdr:nvSpPr>
        <xdr:cNvPr id="57" name="Rectangle: Rounded Corners 56">
          <a:extLst>
            <a:ext uri="{FF2B5EF4-FFF2-40B4-BE49-F238E27FC236}">
              <a16:creationId xmlns:a16="http://schemas.microsoft.com/office/drawing/2014/main" id="{47398EA2-3CD8-4CC4-9CAD-2005D847400E}"/>
            </a:ext>
          </a:extLst>
        </xdr:cNvPr>
        <xdr:cNvSpPr/>
      </xdr:nvSpPr>
      <xdr:spPr>
        <a:xfrm>
          <a:off x="891540" y="1097280"/>
          <a:ext cx="2164080" cy="1463040"/>
        </a:xfrm>
        <a:prstGeom prst="roundRect">
          <a:avLst/>
        </a:prstGeom>
        <a:gradFill flip="none" rotWithShape="1">
          <a:gsLst>
            <a:gs pos="0">
              <a:srgbClr val="002060"/>
            </a:gs>
            <a:gs pos="32000">
              <a:schemeClr val="accent5">
                <a:lumMod val="50000"/>
              </a:schemeClr>
            </a:gs>
            <a:gs pos="100000">
              <a:schemeClr val="accent5">
                <a:lumMod val="75000"/>
              </a:scheme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 </a:t>
          </a:r>
        </a:p>
      </xdr:txBody>
    </xdr:sp>
    <xdr:clientData/>
  </xdr:twoCellAnchor>
  <xdr:twoCellAnchor editAs="oneCell">
    <xdr:from>
      <xdr:col>1</xdr:col>
      <xdr:colOff>472440</xdr:colOff>
      <xdr:row>6</xdr:row>
      <xdr:rowOff>99060</xdr:rowOff>
    </xdr:from>
    <xdr:to>
      <xdr:col>4</xdr:col>
      <xdr:colOff>472440</xdr:colOff>
      <xdr:row>13</xdr:row>
      <xdr:rowOff>30480</xdr:rowOff>
    </xdr:to>
    <mc:AlternateContent xmlns:mc="http://schemas.openxmlformats.org/markup-compatibility/2006">
      <mc:Choice xmlns:a14="http://schemas.microsoft.com/office/drawing/2010/main" Requires="a14">
        <xdr:graphicFrame macro="">
          <xdr:nvGraphicFramePr>
            <xdr:cNvPr id="58" name="Category 1">
              <a:extLst>
                <a:ext uri="{FF2B5EF4-FFF2-40B4-BE49-F238E27FC236}">
                  <a16:creationId xmlns:a16="http://schemas.microsoft.com/office/drawing/2014/main" id="{6C46BD3C-0CD9-4215-A6D2-96403313D1A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082040" y="1196340"/>
              <a:ext cx="1828800" cy="1211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274320</xdr:colOff>
      <xdr:row>14</xdr:row>
      <xdr:rowOff>30480</xdr:rowOff>
    </xdr:from>
    <xdr:to>
      <xdr:col>5</xdr:col>
      <xdr:colOff>0</xdr:colOff>
      <xdr:row>23</xdr:row>
      <xdr:rowOff>99060</xdr:rowOff>
    </xdr:to>
    <xdr:sp macro="" textlink="">
      <xdr:nvSpPr>
        <xdr:cNvPr id="59" name="Rectangle: Rounded Corners 58">
          <a:extLst>
            <a:ext uri="{FF2B5EF4-FFF2-40B4-BE49-F238E27FC236}">
              <a16:creationId xmlns:a16="http://schemas.microsoft.com/office/drawing/2014/main" id="{F4C93501-7353-408E-8645-8BF82011D2F3}"/>
            </a:ext>
          </a:extLst>
        </xdr:cNvPr>
        <xdr:cNvSpPr/>
      </xdr:nvSpPr>
      <xdr:spPr>
        <a:xfrm>
          <a:off x="883920" y="2590800"/>
          <a:ext cx="2164080" cy="1714500"/>
        </a:xfrm>
        <a:prstGeom prst="roundRect">
          <a:avLst/>
        </a:prstGeom>
        <a:gradFill flip="none" rotWithShape="1">
          <a:gsLst>
            <a:gs pos="0">
              <a:srgbClr val="002060"/>
            </a:gs>
            <a:gs pos="32000">
              <a:schemeClr val="accent5">
                <a:lumMod val="50000"/>
              </a:schemeClr>
            </a:gs>
            <a:gs pos="100000">
              <a:schemeClr val="accent5">
                <a:lumMod val="75000"/>
              </a:scheme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 </a:t>
          </a:r>
        </a:p>
      </xdr:txBody>
    </xdr:sp>
    <xdr:clientData/>
  </xdr:twoCellAnchor>
  <xdr:twoCellAnchor editAs="oneCell">
    <xdr:from>
      <xdr:col>1</xdr:col>
      <xdr:colOff>464820</xdr:colOff>
      <xdr:row>14</xdr:row>
      <xdr:rowOff>129540</xdr:rowOff>
    </xdr:from>
    <xdr:to>
      <xdr:col>4</xdr:col>
      <xdr:colOff>464820</xdr:colOff>
      <xdr:row>22</xdr:row>
      <xdr:rowOff>175260</xdr:rowOff>
    </xdr:to>
    <mc:AlternateContent xmlns:mc="http://schemas.openxmlformats.org/markup-compatibility/2006">
      <mc:Choice xmlns:a14="http://schemas.microsoft.com/office/drawing/2010/main" Requires="a14">
        <xdr:graphicFrame macro="">
          <xdr:nvGraphicFramePr>
            <xdr:cNvPr id="60" name="Region 1">
              <a:extLst>
                <a:ext uri="{FF2B5EF4-FFF2-40B4-BE49-F238E27FC236}">
                  <a16:creationId xmlns:a16="http://schemas.microsoft.com/office/drawing/2014/main" id="{56DF2190-5B51-441D-8A17-534B66FB591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74420" y="2689860"/>
              <a:ext cx="1828800" cy="1508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251460</xdr:colOff>
      <xdr:row>23</xdr:row>
      <xdr:rowOff>129540</xdr:rowOff>
    </xdr:from>
    <xdr:to>
      <xdr:col>4</xdr:col>
      <xdr:colOff>586740</xdr:colOff>
      <xdr:row>33</xdr:row>
      <xdr:rowOff>15240</xdr:rowOff>
    </xdr:to>
    <xdr:sp macro="" textlink="">
      <xdr:nvSpPr>
        <xdr:cNvPr id="61" name="Rectangle: Rounded Corners 60">
          <a:extLst>
            <a:ext uri="{FF2B5EF4-FFF2-40B4-BE49-F238E27FC236}">
              <a16:creationId xmlns:a16="http://schemas.microsoft.com/office/drawing/2014/main" id="{3E08FEEE-4333-4303-8CF2-E5C540F87393}"/>
            </a:ext>
          </a:extLst>
        </xdr:cNvPr>
        <xdr:cNvSpPr/>
      </xdr:nvSpPr>
      <xdr:spPr>
        <a:xfrm>
          <a:off x="861060" y="4335780"/>
          <a:ext cx="2164080" cy="1714500"/>
        </a:xfrm>
        <a:prstGeom prst="roundRect">
          <a:avLst/>
        </a:prstGeom>
        <a:gradFill flip="none" rotWithShape="1">
          <a:gsLst>
            <a:gs pos="0">
              <a:srgbClr val="002060"/>
            </a:gs>
            <a:gs pos="32000">
              <a:schemeClr val="accent5">
                <a:lumMod val="50000"/>
              </a:schemeClr>
            </a:gs>
            <a:gs pos="100000">
              <a:schemeClr val="accent5">
                <a:lumMod val="75000"/>
              </a:scheme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 </a:t>
          </a:r>
        </a:p>
      </xdr:txBody>
    </xdr:sp>
    <xdr:clientData/>
  </xdr:twoCellAnchor>
  <xdr:twoCellAnchor editAs="oneCell">
    <xdr:from>
      <xdr:col>1</xdr:col>
      <xdr:colOff>426720</xdr:colOff>
      <xdr:row>24</xdr:row>
      <xdr:rowOff>53340</xdr:rowOff>
    </xdr:from>
    <xdr:to>
      <xdr:col>4</xdr:col>
      <xdr:colOff>426720</xdr:colOff>
      <xdr:row>32</xdr:row>
      <xdr:rowOff>30480</xdr:rowOff>
    </xdr:to>
    <mc:AlternateContent xmlns:mc="http://schemas.openxmlformats.org/markup-compatibility/2006">
      <mc:Choice xmlns:a14="http://schemas.microsoft.com/office/drawing/2010/main" Requires="a14">
        <xdr:graphicFrame macro="">
          <xdr:nvGraphicFramePr>
            <xdr:cNvPr id="62" name="SalesPerson 1">
              <a:extLst>
                <a:ext uri="{FF2B5EF4-FFF2-40B4-BE49-F238E27FC236}">
                  <a16:creationId xmlns:a16="http://schemas.microsoft.com/office/drawing/2014/main" id="{97424B3A-1186-4303-AF38-286F10297ED2}"/>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dr:sp macro="" textlink="">
          <xdr:nvSpPr>
            <xdr:cNvPr id="0" name=""/>
            <xdr:cNvSpPr>
              <a:spLocks noTextEdit="1"/>
            </xdr:cNvSpPr>
          </xdr:nvSpPr>
          <xdr:spPr>
            <a:xfrm>
              <a:off x="1036320" y="4442460"/>
              <a:ext cx="1828800" cy="1440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259080</xdr:colOff>
      <xdr:row>33</xdr:row>
      <xdr:rowOff>45720</xdr:rowOff>
    </xdr:from>
    <xdr:to>
      <xdr:col>4</xdr:col>
      <xdr:colOff>594360</xdr:colOff>
      <xdr:row>41</xdr:row>
      <xdr:rowOff>38100</xdr:rowOff>
    </xdr:to>
    <xdr:sp macro="" textlink="">
      <xdr:nvSpPr>
        <xdr:cNvPr id="63" name="Rectangle: Rounded Corners 62">
          <a:extLst>
            <a:ext uri="{FF2B5EF4-FFF2-40B4-BE49-F238E27FC236}">
              <a16:creationId xmlns:a16="http://schemas.microsoft.com/office/drawing/2014/main" id="{94BF22D9-6F2E-44CA-A5F6-10ADC485A6B9}"/>
            </a:ext>
          </a:extLst>
        </xdr:cNvPr>
        <xdr:cNvSpPr/>
      </xdr:nvSpPr>
      <xdr:spPr>
        <a:xfrm>
          <a:off x="868680" y="6080760"/>
          <a:ext cx="2164080" cy="1455420"/>
        </a:xfrm>
        <a:prstGeom prst="roundRect">
          <a:avLst/>
        </a:prstGeom>
        <a:gradFill flip="none" rotWithShape="1">
          <a:gsLst>
            <a:gs pos="0">
              <a:srgbClr val="002060"/>
            </a:gs>
            <a:gs pos="32000">
              <a:schemeClr val="accent5">
                <a:lumMod val="50000"/>
              </a:schemeClr>
            </a:gs>
            <a:gs pos="100000">
              <a:schemeClr val="accent5">
                <a:lumMod val="75000"/>
              </a:scheme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 </a:t>
          </a:r>
        </a:p>
      </xdr:txBody>
    </xdr:sp>
    <xdr:clientData/>
  </xdr:twoCellAnchor>
  <xdr:twoCellAnchor editAs="oneCell">
    <xdr:from>
      <xdr:col>1</xdr:col>
      <xdr:colOff>342900</xdr:colOff>
      <xdr:row>33</xdr:row>
      <xdr:rowOff>83820</xdr:rowOff>
    </xdr:from>
    <xdr:to>
      <xdr:col>4</xdr:col>
      <xdr:colOff>518160</xdr:colOff>
      <xdr:row>40</xdr:row>
      <xdr:rowOff>114300</xdr:rowOff>
    </xdr:to>
    <mc:AlternateContent xmlns:mc="http://schemas.openxmlformats.org/markup-compatibility/2006">
      <mc:Choice xmlns:tsle="http://schemas.microsoft.com/office/drawing/2012/timeslicer" Requires="tsle">
        <xdr:graphicFrame macro="">
          <xdr:nvGraphicFramePr>
            <xdr:cNvPr id="64" name="OrderDate 1">
              <a:extLst>
                <a:ext uri="{FF2B5EF4-FFF2-40B4-BE49-F238E27FC236}">
                  <a16:creationId xmlns:a16="http://schemas.microsoft.com/office/drawing/2014/main" id="{758C8269-FB52-40CA-BD52-632F2B28D200}"/>
                </a:ext>
              </a:extLst>
            </xdr:cNvPr>
            <xdr:cNvGraphicFramePr/>
          </xdr:nvGraphicFramePr>
          <xdr:xfrm>
            <a:off x="0" y="0"/>
            <a:ext cx="0" cy="0"/>
          </xdr:xfrm>
          <a:graphic>
            <a:graphicData uri="http://schemas.microsoft.com/office/drawing/2012/timeslicer">
              <tsle:timeslicer xmlns:tsle="http://schemas.microsoft.com/office/drawing/2012/timeslicer" name="OrderDate 1"/>
            </a:graphicData>
          </a:graphic>
        </xdr:graphicFrame>
      </mc:Choice>
      <mc:Fallback>
        <xdr:sp macro="" textlink="">
          <xdr:nvSpPr>
            <xdr:cNvPr id="0" name=""/>
            <xdr:cNvSpPr>
              <a:spLocks noTextEdit="1"/>
            </xdr:cNvSpPr>
          </xdr:nvSpPr>
          <xdr:spPr>
            <a:xfrm>
              <a:off x="952500" y="6118860"/>
              <a:ext cx="2004060" cy="131064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xdr:col>
      <xdr:colOff>251460</xdr:colOff>
      <xdr:row>2</xdr:row>
      <xdr:rowOff>7620</xdr:rowOff>
    </xdr:from>
    <xdr:to>
      <xdr:col>2</xdr:col>
      <xdr:colOff>335340</xdr:colOff>
      <xdr:row>5</xdr:row>
      <xdr:rowOff>152460</xdr:rowOff>
    </xdr:to>
    <xdr:pic>
      <xdr:nvPicPr>
        <xdr:cNvPr id="67" name="Picture 66" descr="Bar graph with upward trend with solid fill">
          <a:extLst>
            <a:ext uri="{FF2B5EF4-FFF2-40B4-BE49-F238E27FC236}">
              <a16:creationId xmlns:a16="http://schemas.microsoft.com/office/drawing/2014/main" id="{CB171090-7CF4-405E-7E25-DD590036CACE}"/>
            </a:ext>
          </a:extLst>
        </xdr:cNvPr>
        <xdr:cNvPicPr>
          <a:picLocks noChangeAspect="1"/>
        </xdr:cNvPicPr>
      </xdr:nvPicPr>
      <xdr:blipFill>
        <a:blip xmlns:r="http://schemas.openxmlformats.org/officeDocument/2006/relationships" r:embed="rId7">
          <a:lum bright="70000" contrast="-70000"/>
        </a:blip>
        <a:stretch>
          <a:fillRect/>
        </a:stretch>
      </xdr:blipFill>
      <xdr:spPr>
        <a:xfrm>
          <a:off x="861060" y="373380"/>
          <a:ext cx="693480" cy="693480"/>
        </a:xfrm>
        <a:prstGeom prst="rect">
          <a:avLst/>
        </a:prstGeom>
      </xdr:spPr>
    </xdr:pic>
    <xdr:clientData/>
  </xdr:twoCellAnchor>
  <xdr:twoCellAnchor>
    <xdr:from>
      <xdr:col>2</xdr:col>
      <xdr:colOff>167640</xdr:colOff>
      <xdr:row>2</xdr:row>
      <xdr:rowOff>76200</xdr:rowOff>
    </xdr:from>
    <xdr:to>
      <xdr:col>5</xdr:col>
      <xdr:colOff>30480</xdr:colOff>
      <xdr:row>6</xdr:row>
      <xdr:rowOff>7620</xdr:rowOff>
    </xdr:to>
    <xdr:sp macro="" textlink="">
      <xdr:nvSpPr>
        <xdr:cNvPr id="68" name="TextBox 67">
          <a:extLst>
            <a:ext uri="{FF2B5EF4-FFF2-40B4-BE49-F238E27FC236}">
              <a16:creationId xmlns:a16="http://schemas.microsoft.com/office/drawing/2014/main" id="{229CFB41-103B-8196-3637-2589C2174E2C}"/>
            </a:ext>
          </a:extLst>
        </xdr:cNvPr>
        <xdr:cNvSpPr txBox="1"/>
      </xdr:nvSpPr>
      <xdr:spPr>
        <a:xfrm>
          <a:off x="1386840" y="441960"/>
          <a:ext cx="1691640" cy="662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accent1">
                  <a:lumMod val="20000"/>
                  <a:lumOff val="80000"/>
                </a:schemeClr>
              </a:solidFill>
            </a:rPr>
            <a:t>SC sales 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548640</xdr:colOff>
      <xdr:row>6</xdr:row>
      <xdr:rowOff>68580</xdr:rowOff>
    </xdr:from>
    <xdr:to>
      <xdr:col>7</xdr:col>
      <xdr:colOff>716280</xdr:colOff>
      <xdr:row>18</xdr:row>
      <xdr:rowOff>57150</xdr:rowOff>
    </xdr:to>
    <xdr:graphicFrame macro="">
      <xdr:nvGraphicFramePr>
        <xdr:cNvPr id="2" name="Chart 1">
          <a:extLst>
            <a:ext uri="{FF2B5EF4-FFF2-40B4-BE49-F238E27FC236}">
              <a16:creationId xmlns:a16="http://schemas.microsoft.com/office/drawing/2014/main" id="{4AF8CB8A-D78F-444A-3577-AC93C97B27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640080</xdr:colOff>
      <xdr:row>18</xdr:row>
      <xdr:rowOff>91440</xdr:rowOff>
    </xdr:from>
    <xdr:to>
      <xdr:col>7</xdr:col>
      <xdr:colOff>236220</xdr:colOff>
      <xdr:row>30</xdr:row>
      <xdr:rowOff>80010</xdr:rowOff>
    </xdr:to>
    <xdr:graphicFrame macro="">
      <xdr:nvGraphicFramePr>
        <xdr:cNvPr id="3" name="Chart 2">
          <a:extLst>
            <a:ext uri="{FF2B5EF4-FFF2-40B4-BE49-F238E27FC236}">
              <a16:creationId xmlns:a16="http://schemas.microsoft.com/office/drawing/2014/main" id="{5B7D0673-ADF6-C100-6EBD-BBC55F7BE0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381000</xdr:colOff>
      <xdr:row>30</xdr:row>
      <xdr:rowOff>152400</xdr:rowOff>
    </xdr:from>
    <xdr:to>
      <xdr:col>7</xdr:col>
      <xdr:colOff>137160</xdr:colOff>
      <xdr:row>42</xdr:row>
      <xdr:rowOff>102870</xdr:rowOff>
    </xdr:to>
    <xdr:graphicFrame macro="">
      <xdr:nvGraphicFramePr>
        <xdr:cNvPr id="4" name="Chart 3">
          <a:extLst>
            <a:ext uri="{FF2B5EF4-FFF2-40B4-BE49-F238E27FC236}">
              <a16:creationId xmlns:a16="http://schemas.microsoft.com/office/drawing/2014/main" id="{F2ED6CB4-99B6-C0C6-BDD8-4DD17DE24D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129540</xdr:colOff>
      <xdr:row>0</xdr:row>
      <xdr:rowOff>0</xdr:rowOff>
    </xdr:from>
    <xdr:to>
      <xdr:col>16</xdr:col>
      <xdr:colOff>114300</xdr:colOff>
      <xdr:row>10</xdr:row>
      <xdr:rowOff>87630</xdr:rowOff>
    </xdr:to>
    <xdr:graphicFrame macro="">
      <xdr:nvGraphicFramePr>
        <xdr:cNvPr id="5" name="Chart 4">
          <a:extLst>
            <a:ext uri="{FF2B5EF4-FFF2-40B4-BE49-F238E27FC236}">
              <a16:creationId xmlns:a16="http://schemas.microsoft.com/office/drawing/2014/main" id="{7E11143C-95C5-6744-54AA-C7EA36DBAF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251460</xdr:colOff>
      <xdr:row>11</xdr:row>
      <xdr:rowOff>45720</xdr:rowOff>
    </xdr:from>
    <xdr:to>
      <xdr:col>17</xdr:col>
      <xdr:colOff>228600</xdr:colOff>
      <xdr:row>22</xdr:row>
      <xdr:rowOff>133350</xdr:rowOff>
    </xdr:to>
    <xdr:graphicFrame macro="">
      <xdr:nvGraphicFramePr>
        <xdr:cNvPr id="6" name="Chart 5">
          <a:extLst>
            <a:ext uri="{FF2B5EF4-FFF2-40B4-BE49-F238E27FC236}">
              <a16:creationId xmlns:a16="http://schemas.microsoft.com/office/drawing/2014/main" id="{7DEC9413-4E3A-66DB-3FD6-5250F649BC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373380</xdr:colOff>
      <xdr:row>32</xdr:row>
      <xdr:rowOff>38100</xdr:rowOff>
    </xdr:from>
    <xdr:to>
      <xdr:col>13</xdr:col>
      <xdr:colOff>601980</xdr:colOff>
      <xdr:row>41</xdr:row>
      <xdr:rowOff>11430</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C4389024-F816-E66F-0A7E-EE288921895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442960" y="5890260"/>
              <a:ext cx="2788920" cy="16192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7</xdr:col>
      <xdr:colOff>426720</xdr:colOff>
      <xdr:row>1</xdr:row>
      <xdr:rowOff>68581</xdr:rowOff>
    </xdr:from>
    <xdr:to>
      <xdr:col>9</xdr:col>
      <xdr:colOff>449580</xdr:colOff>
      <xdr:row>8</xdr:row>
      <xdr:rowOff>30481</xdr:rowOff>
    </xdr:to>
    <mc:AlternateContent xmlns:mc="http://schemas.openxmlformats.org/markup-compatibility/2006">
      <mc:Choice xmlns:a14="http://schemas.microsoft.com/office/drawing/2010/main" Requires="a14">
        <xdr:graphicFrame macro="">
          <xdr:nvGraphicFramePr>
            <xdr:cNvPr id="13" name="Category">
              <a:extLst>
                <a:ext uri="{FF2B5EF4-FFF2-40B4-BE49-F238E27FC236}">
                  <a16:creationId xmlns:a16="http://schemas.microsoft.com/office/drawing/2014/main" id="{F0247D95-E1F8-F92C-9252-45057A630F8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012180" y="251461"/>
              <a:ext cx="1828800" cy="1242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449580</xdr:colOff>
      <xdr:row>8</xdr:row>
      <xdr:rowOff>91441</xdr:rowOff>
    </xdr:from>
    <xdr:to>
      <xdr:col>9</xdr:col>
      <xdr:colOff>472440</xdr:colOff>
      <xdr:row>16</xdr:row>
      <xdr:rowOff>99061</xdr:rowOff>
    </xdr:to>
    <mc:AlternateContent xmlns:mc="http://schemas.openxmlformats.org/markup-compatibility/2006">
      <mc:Choice xmlns:a14="http://schemas.microsoft.com/office/drawing/2010/main" Requires="a14">
        <xdr:graphicFrame macro="">
          <xdr:nvGraphicFramePr>
            <xdr:cNvPr id="15" name="Region">
              <a:extLst>
                <a:ext uri="{FF2B5EF4-FFF2-40B4-BE49-F238E27FC236}">
                  <a16:creationId xmlns:a16="http://schemas.microsoft.com/office/drawing/2014/main" id="{1D7C8E79-2D2F-4A08-B62E-5F6BF7E5E21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035040" y="1554481"/>
              <a:ext cx="1828800" cy="1470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449580</xdr:colOff>
      <xdr:row>16</xdr:row>
      <xdr:rowOff>129541</xdr:rowOff>
    </xdr:from>
    <xdr:to>
      <xdr:col>9</xdr:col>
      <xdr:colOff>472440</xdr:colOff>
      <xdr:row>24</xdr:row>
      <xdr:rowOff>106681</xdr:rowOff>
    </xdr:to>
    <mc:AlternateContent xmlns:mc="http://schemas.openxmlformats.org/markup-compatibility/2006">
      <mc:Choice xmlns:a14="http://schemas.microsoft.com/office/drawing/2010/main" Requires="a14">
        <xdr:graphicFrame macro="">
          <xdr:nvGraphicFramePr>
            <xdr:cNvPr id="16" name="SalesPerson">
              <a:extLst>
                <a:ext uri="{FF2B5EF4-FFF2-40B4-BE49-F238E27FC236}">
                  <a16:creationId xmlns:a16="http://schemas.microsoft.com/office/drawing/2014/main" id="{ABA79125-32BB-2CA6-671F-7D4B1954BB89}"/>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6035040" y="3055621"/>
              <a:ext cx="1828800" cy="1440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304800</xdr:colOff>
      <xdr:row>19</xdr:row>
      <xdr:rowOff>167640</xdr:rowOff>
    </xdr:from>
    <xdr:to>
      <xdr:col>10</xdr:col>
      <xdr:colOff>617220</xdr:colOff>
      <xdr:row>27</xdr:row>
      <xdr:rowOff>76200</xdr:rowOff>
    </xdr:to>
    <mc:AlternateContent xmlns:mc="http://schemas.openxmlformats.org/markup-compatibility/2006">
      <mc:Choice xmlns:tsle="http://schemas.microsoft.com/office/drawing/2012/timeslicer" Requires="tsle">
        <xdr:graphicFrame macro="">
          <xdr:nvGraphicFramePr>
            <xdr:cNvPr id="17" name="OrderDate">
              <a:extLst>
                <a:ext uri="{FF2B5EF4-FFF2-40B4-BE49-F238E27FC236}">
                  <a16:creationId xmlns:a16="http://schemas.microsoft.com/office/drawing/2014/main" id="{9CC3746D-1557-41BD-8E98-256F4ED6127C}"/>
                </a:ext>
              </a:extLst>
            </xdr:cNvPr>
            <xdr:cNvGraphicFramePr/>
          </xdr:nvGraphicFramePr>
          <xdr:xfrm>
            <a:off x="0" y="0"/>
            <a:ext cx="0" cy="0"/>
          </xdr:xfrm>
          <a:graphic>
            <a:graphicData uri="http://schemas.microsoft.com/office/drawing/2012/timeslicer">
              <tsle:timeslicer xmlns:tsle="http://schemas.microsoft.com/office/drawing/2012/timeslicer" name="OrderDate"/>
            </a:graphicData>
          </a:graphic>
        </xdr:graphicFrame>
      </mc:Choice>
      <mc:Fallback>
        <xdr:sp macro="" textlink="">
          <xdr:nvSpPr>
            <xdr:cNvPr id="0" name=""/>
            <xdr:cNvSpPr>
              <a:spLocks noTextEdit="1"/>
            </xdr:cNvSpPr>
          </xdr:nvSpPr>
          <xdr:spPr>
            <a:xfrm>
              <a:off x="5280660" y="364236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un chanaka" refreshedDate="46017.972718171295" backgroundQuery="1" createdVersion="8" refreshedVersion="8" minRefreshableVersion="3" recordCount="0" supportSubquery="1" supportAdvancedDrill="1" xr:uid="{23CF7471-DC22-408D-A208-AD31EF1CBA72}">
  <cacheSource type="external" connectionId="3"/>
  <cacheFields count="2">
    <cacheField name="[RetailSalesData_100rows].[Region].[Region]" caption="Region" numFmtId="0" hierarchy="2" level="1">
      <sharedItems count="4">
        <s v="Colombo"/>
        <s v="Galle"/>
        <s v="Jaffna"/>
        <s v="Kandy"/>
      </sharedItems>
    </cacheField>
    <cacheField name="[Measures].[Total revenue]" caption="Total revenue" numFmtId="0" hierarchy="12" level="32767"/>
  </cacheFields>
  <cacheHierarchies count="17">
    <cacheHierarchy uniqueName="[RetailSalesData_100rows].[OrderID]" caption="OrderID" attribute="1" defaultMemberUniqueName="[RetailSalesData_100rows].[OrderID].[All]" allUniqueName="[RetailSalesData_100rows].[OrderID].[All]" dimensionUniqueName="[RetailSalesData_100rows]" displayFolder="" count="2" memberValueDatatype="130" unbalanced="0"/>
    <cacheHierarchy uniqueName="[RetailSalesData_100rows].[OrderDate]" caption="OrderDate" attribute="1" time="1" defaultMemberUniqueName="[RetailSalesData_100rows].[OrderDate].[All]" allUniqueName="[RetailSalesData_100rows].[OrderDate].[All]" dimensionUniqueName="[RetailSalesData_100rows]" displayFolder="" count="2" memberValueDatatype="7" unbalanced="0"/>
    <cacheHierarchy uniqueName="[RetailSalesData_100rows].[Region]" caption="Region" attribute="1" defaultMemberUniqueName="[RetailSalesData_100rows].[Region].[All]" allUniqueName="[RetailSalesData_100rows].[Region].[All]" dimensionUniqueName="[RetailSalesData_100rows]" displayFolder="" count="2" memberValueDatatype="130" unbalanced="0">
      <fieldsUsage count="2">
        <fieldUsage x="-1"/>
        <fieldUsage x="0"/>
      </fieldsUsage>
    </cacheHierarchy>
    <cacheHierarchy uniqueName="[RetailSalesData_100rows].[SalesPerson]" caption="SalesPerson" attribute="1" defaultMemberUniqueName="[RetailSalesData_100rows].[SalesPerson].[All]" allUniqueName="[RetailSalesData_100rows].[SalesPerson].[All]" dimensionUniqueName="[RetailSalesData_100rows]" displayFolder="" count="2" memberValueDatatype="130" unbalanced="0"/>
    <cacheHierarchy uniqueName="[RetailSalesData_100rows].[Product]" caption="Product" attribute="1" defaultMemberUniqueName="[RetailSalesData_100rows].[Product].[All]" allUniqueName="[RetailSalesData_100rows].[Product].[All]" dimensionUniqueName="[RetailSalesData_100rows]" displayFolder="" count="2" memberValueDatatype="130" unbalanced="0"/>
    <cacheHierarchy uniqueName="[RetailSalesData_100rows].[Category]" caption="Category" attribute="1" defaultMemberUniqueName="[RetailSalesData_100rows].[Category].[All]" allUniqueName="[RetailSalesData_100rows].[Category].[All]" dimensionUniqueName="[RetailSalesData_100rows]" displayFolder="" count="2" memberValueDatatype="130" unbalanced="0"/>
    <cacheHierarchy uniqueName="[RetailSalesData_100rows].[UnitsSold]" caption="UnitsSold" attribute="1" defaultMemberUniqueName="[RetailSalesData_100rows].[UnitsSold].[All]" allUniqueName="[RetailSalesData_100rows].[UnitsSold].[All]" dimensionUniqueName="[RetailSalesData_100rows]" displayFolder="" count="2" memberValueDatatype="20" unbalanced="0"/>
    <cacheHierarchy uniqueName="[RetailSalesData_100rows].[UnitPrice]" caption="UnitPrice" attribute="1" defaultMemberUniqueName="[RetailSalesData_100rows].[UnitPrice].[All]" allUniqueName="[RetailSalesData_100rows].[UnitPrice].[All]" dimensionUniqueName="[RetailSalesData_100rows]" displayFolder="" count="2" memberValueDatatype="5" unbalanced="0"/>
    <cacheHierarchy uniqueName="[RetailSalesData_100rows].[Revenue]" caption="Revenue" attribute="1" defaultMemberUniqueName="[RetailSalesData_100rows].[Revenue].[All]" allUniqueName="[RetailSalesData_100rows].[Revenue].[All]" dimensionUniqueName="[RetailSalesData_100rows]" displayFolder="" count="2" memberValueDatatype="5" unbalanced="0"/>
    <cacheHierarchy uniqueName="[RetailSalesData_100rows].[Month Name]" caption="Month Name" attribute="1" defaultMemberUniqueName="[RetailSalesData_100rows].[Month Name].[All]" allUniqueName="[RetailSalesData_100rows].[Month Name].[All]" dimensionUniqueName="[RetailSalesData_100rows]" displayFolder="" count="2" memberValueDatatype="130" unbalanced="0"/>
    <cacheHierarchy uniqueName="[RetailSalesData_100rows].[Month]" caption="Month" attribute="1" defaultMemberUniqueName="[RetailSalesData_100rows].[Month].[All]" allUniqueName="[RetailSalesData_100rows].[Month].[All]" dimensionUniqueName="[RetailSalesData_100rows]" displayFolder="" count="2" memberValueDatatype="20" unbalanced="0"/>
    <cacheHierarchy uniqueName="[RetailSalesData_100rows].[Day Name]" caption="Day Name" attribute="1" defaultMemberUniqueName="[RetailSalesData_100rows].[Day Name].[All]" allUniqueName="[RetailSalesData_100rows].[Day Name].[All]" dimensionUniqueName="[RetailSalesData_100rows]" displayFolder="" count="2" memberValueDatatype="130" unbalanced="0"/>
    <cacheHierarchy uniqueName="[Measures].[Total revenue]" caption="Total revenue" measure="1" displayFolder="" measureGroup="RetailSalesData_100rows" count="0" oneField="1">
      <fieldsUsage count="1">
        <fieldUsage x="1"/>
      </fieldsUsage>
    </cacheHierarchy>
    <cacheHierarchy uniqueName="[Measures].[Total units sold]" caption="Total units sold" measure="1" displayFolder="" measureGroup="RetailSalesData_100rows" count="0"/>
    <cacheHierarchy uniqueName="[Measures].[Total orders]" caption="Total orders" measure="1" displayFolder="" measureGroup="RetailSalesData_100rows" count="0"/>
    <cacheHierarchy uniqueName="[Measures].[__XL_Count RetailSalesData_100rows]" caption="__XL_Count RetailSalesData_100rows" measure="1" displayFolder="" measureGroup="RetailSalesData_100rows" count="0" hidden="1"/>
    <cacheHierarchy uniqueName="[Measures].[__No measures defined]" caption="__No measures defined" measure="1" displayFolder="" count="0" hidden="1"/>
  </cacheHierarchies>
  <kpis count="0"/>
  <dimensions count="2">
    <dimension measure="1" name="Measures" uniqueName="[Measures]" caption="Measures"/>
    <dimension name="RetailSalesData_100rows" uniqueName="[RetailSalesData_100rows]" caption="RetailSalesData_100rows"/>
  </dimensions>
  <measureGroups count="1">
    <measureGroup name="RetailSalesData_100rows" caption="RetailSalesData_100row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un chanaka" refreshedDate="46017.972714699077" backgroundQuery="1" createdVersion="8" refreshedVersion="8" minRefreshableVersion="3" recordCount="0" supportSubquery="1" supportAdvancedDrill="1" xr:uid="{5983F397-C234-4104-9265-ED629B0DD9B4}">
  <cacheSource type="external" connectionId="3"/>
  <cacheFields count="3">
    <cacheField name="[Measures].[Total revenue]" caption="Total revenue" numFmtId="0" hierarchy="12" level="32767"/>
    <cacheField name="[Measures].[Total units sold]" caption="Total units sold" numFmtId="0" hierarchy="13" level="32767"/>
    <cacheField name="[Measures].[Total orders]" caption="Total orders" numFmtId="0" hierarchy="14" level="32767"/>
  </cacheFields>
  <cacheHierarchies count="17">
    <cacheHierarchy uniqueName="[RetailSalesData_100rows].[OrderID]" caption="OrderID" attribute="1" defaultMemberUniqueName="[RetailSalesData_100rows].[OrderID].[All]" allUniqueName="[RetailSalesData_100rows].[OrderID].[All]" dimensionUniqueName="[RetailSalesData_100rows]" displayFolder="" count="0" memberValueDatatype="130" unbalanced="0"/>
    <cacheHierarchy uniqueName="[RetailSalesData_100rows].[OrderDate]" caption="OrderDate" attribute="1" time="1" defaultMemberUniqueName="[RetailSalesData_100rows].[OrderDate].[All]" allUniqueName="[RetailSalesData_100rows].[OrderDate].[All]" dimensionUniqueName="[RetailSalesData_100rows]" displayFolder="" count="2" memberValueDatatype="7" unbalanced="0"/>
    <cacheHierarchy uniqueName="[RetailSalesData_100rows].[Region]" caption="Region" attribute="1" defaultMemberUniqueName="[RetailSalesData_100rows].[Region].[All]" allUniqueName="[RetailSalesData_100rows].[Region].[All]" dimensionUniqueName="[RetailSalesData_100rows]" displayFolder="" count="2" memberValueDatatype="130" unbalanced="0"/>
    <cacheHierarchy uniqueName="[RetailSalesData_100rows].[SalesPerson]" caption="SalesPerson" attribute="1" defaultMemberUniqueName="[RetailSalesData_100rows].[SalesPerson].[All]" allUniqueName="[RetailSalesData_100rows].[SalesPerson].[All]" dimensionUniqueName="[RetailSalesData_100rows]" displayFolder="" count="2" memberValueDatatype="130" unbalanced="0"/>
    <cacheHierarchy uniqueName="[RetailSalesData_100rows].[Product]" caption="Product" attribute="1" defaultMemberUniqueName="[RetailSalesData_100rows].[Product].[All]" allUniqueName="[RetailSalesData_100rows].[Product].[All]" dimensionUniqueName="[RetailSalesData_100rows]" displayFolder="" count="0" memberValueDatatype="130" unbalanced="0"/>
    <cacheHierarchy uniqueName="[RetailSalesData_100rows].[Category]" caption="Category" attribute="1" defaultMemberUniqueName="[RetailSalesData_100rows].[Category].[All]" allUniqueName="[RetailSalesData_100rows].[Category].[All]" dimensionUniqueName="[RetailSalesData_100rows]" displayFolder="" count="2" memberValueDatatype="130" unbalanced="0"/>
    <cacheHierarchy uniqueName="[RetailSalesData_100rows].[UnitsSold]" caption="UnitsSold" attribute="1" defaultMemberUniqueName="[RetailSalesData_100rows].[UnitsSold].[All]" allUniqueName="[RetailSalesData_100rows].[UnitsSold].[All]" dimensionUniqueName="[RetailSalesData_100rows]" displayFolder="" count="0" memberValueDatatype="20" unbalanced="0"/>
    <cacheHierarchy uniqueName="[RetailSalesData_100rows].[UnitPrice]" caption="UnitPrice" attribute="1" defaultMemberUniqueName="[RetailSalesData_100rows].[UnitPrice].[All]" allUniqueName="[RetailSalesData_100rows].[UnitPrice].[All]" dimensionUniqueName="[RetailSalesData_100rows]" displayFolder="" count="0" memberValueDatatype="5" unbalanced="0"/>
    <cacheHierarchy uniqueName="[RetailSalesData_100rows].[Revenue]" caption="Revenue" attribute="1" defaultMemberUniqueName="[RetailSalesData_100rows].[Revenue].[All]" allUniqueName="[RetailSalesData_100rows].[Revenue].[All]" dimensionUniqueName="[RetailSalesData_100rows]" displayFolder="" count="0" memberValueDatatype="5" unbalanced="0"/>
    <cacheHierarchy uniqueName="[RetailSalesData_100rows].[Month Name]" caption="Month Name" attribute="1" defaultMemberUniqueName="[RetailSalesData_100rows].[Month Name].[All]" allUniqueName="[RetailSalesData_100rows].[Month Name].[All]" dimensionUniqueName="[RetailSalesData_100rows]" displayFolder="" count="0" memberValueDatatype="130" unbalanced="0"/>
    <cacheHierarchy uniqueName="[RetailSalesData_100rows].[Month]" caption="Month" attribute="1" defaultMemberUniqueName="[RetailSalesData_100rows].[Month].[All]" allUniqueName="[RetailSalesData_100rows].[Month].[All]" dimensionUniqueName="[RetailSalesData_100rows]" displayFolder="" count="0" memberValueDatatype="20" unbalanced="0"/>
    <cacheHierarchy uniqueName="[RetailSalesData_100rows].[Day Name]" caption="Day Name" attribute="1" defaultMemberUniqueName="[RetailSalesData_100rows].[Day Name].[All]" allUniqueName="[RetailSalesData_100rows].[Day Name].[All]" dimensionUniqueName="[RetailSalesData_100rows]" displayFolder="" count="0" memberValueDatatype="130" unbalanced="0"/>
    <cacheHierarchy uniqueName="[Measures].[Total revenue]" caption="Total revenue" measure="1" displayFolder="" measureGroup="RetailSalesData_100rows" count="0" oneField="1">
      <fieldsUsage count="1">
        <fieldUsage x="0"/>
      </fieldsUsage>
    </cacheHierarchy>
    <cacheHierarchy uniqueName="[Measures].[Total units sold]" caption="Total units sold" measure="1" displayFolder="" measureGroup="RetailSalesData_100rows" count="0" oneField="1">
      <fieldsUsage count="1">
        <fieldUsage x="1"/>
      </fieldsUsage>
    </cacheHierarchy>
    <cacheHierarchy uniqueName="[Measures].[Total orders]" caption="Total orders" measure="1" displayFolder="" measureGroup="RetailSalesData_100rows" count="0" oneField="1">
      <fieldsUsage count="1">
        <fieldUsage x="2"/>
      </fieldsUsage>
    </cacheHierarchy>
    <cacheHierarchy uniqueName="[Measures].[__XL_Count RetailSalesData_100rows]" caption="__XL_Count RetailSalesData_100rows" measure="1" displayFolder="" measureGroup="RetailSalesData_100rows" count="0" hidden="1"/>
    <cacheHierarchy uniqueName="[Measures].[__No measures defined]" caption="__No measures defined" measure="1" displayFolder="" count="0" hidden="1"/>
  </cacheHierarchies>
  <kpis count="0"/>
  <dimensions count="2">
    <dimension measure="1" name="Measures" uniqueName="[Measures]" caption="Measures"/>
    <dimension name="RetailSalesData_100rows" uniqueName="[RetailSalesData_100rows]" caption="RetailSalesData_100rows"/>
  </dimensions>
  <measureGroups count="1">
    <measureGroup name="RetailSalesData_100rows" caption="RetailSalesData_100row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un chanaka" refreshedDate="46017.972715277778" backgroundQuery="1" createdVersion="8" refreshedVersion="8" minRefreshableVersion="3" recordCount="0" supportSubquery="1" supportAdvancedDrill="1" xr:uid="{2A56D565-37E7-4905-B423-4AA3455BAFF7}">
  <cacheSource type="external" connectionId="3"/>
  <cacheFields count="2">
    <cacheField name="[RetailSalesData_100rows].[Day Name].[Day Name]" caption="Day Name" numFmtId="0" hierarchy="11" level="1">
      <sharedItems count="7">
        <s v="Friday"/>
        <s v="Monday"/>
        <s v="Saturday"/>
        <s v="Sunday"/>
        <s v="Thursday"/>
        <s v="Tuesday"/>
        <s v="Wednesday"/>
      </sharedItems>
    </cacheField>
    <cacheField name="[Measures].[Total units sold]" caption="Total units sold" numFmtId="0" hierarchy="13" level="32767"/>
  </cacheFields>
  <cacheHierarchies count="17">
    <cacheHierarchy uniqueName="[RetailSalesData_100rows].[OrderID]" caption="OrderID" attribute="1" defaultMemberUniqueName="[RetailSalesData_100rows].[OrderID].[All]" allUniqueName="[RetailSalesData_100rows].[OrderID].[All]" dimensionUniqueName="[RetailSalesData_100rows]" displayFolder="" count="0" memberValueDatatype="130" unbalanced="0"/>
    <cacheHierarchy uniqueName="[RetailSalesData_100rows].[OrderDate]" caption="OrderDate" attribute="1" time="1" defaultMemberUniqueName="[RetailSalesData_100rows].[OrderDate].[All]" allUniqueName="[RetailSalesData_100rows].[OrderDate].[All]" dimensionUniqueName="[RetailSalesData_100rows]" displayFolder="" count="2" memberValueDatatype="7" unbalanced="0"/>
    <cacheHierarchy uniqueName="[RetailSalesData_100rows].[Region]" caption="Region" attribute="1" defaultMemberUniqueName="[RetailSalesData_100rows].[Region].[All]" allUniqueName="[RetailSalesData_100rows].[Region].[All]" dimensionUniqueName="[RetailSalesData_100rows]" displayFolder="" count="2" memberValueDatatype="130" unbalanced="0"/>
    <cacheHierarchy uniqueName="[RetailSalesData_100rows].[SalesPerson]" caption="SalesPerson" attribute="1" defaultMemberUniqueName="[RetailSalesData_100rows].[SalesPerson].[All]" allUniqueName="[RetailSalesData_100rows].[SalesPerson].[All]" dimensionUniqueName="[RetailSalesData_100rows]" displayFolder="" count="2" memberValueDatatype="130" unbalanced="0"/>
    <cacheHierarchy uniqueName="[RetailSalesData_100rows].[Product]" caption="Product" attribute="1" defaultMemberUniqueName="[RetailSalesData_100rows].[Product].[All]" allUniqueName="[RetailSalesData_100rows].[Product].[All]" dimensionUniqueName="[RetailSalesData_100rows]" displayFolder="" count="2" memberValueDatatype="130" unbalanced="0"/>
    <cacheHierarchy uniqueName="[RetailSalesData_100rows].[Category]" caption="Category" attribute="1" defaultMemberUniqueName="[RetailSalesData_100rows].[Category].[All]" allUniqueName="[RetailSalesData_100rows].[Category].[All]" dimensionUniqueName="[RetailSalesData_100rows]" displayFolder="" count="2" memberValueDatatype="130" unbalanced="0"/>
    <cacheHierarchy uniqueName="[RetailSalesData_100rows].[UnitsSold]" caption="UnitsSold" attribute="1" defaultMemberUniqueName="[RetailSalesData_100rows].[UnitsSold].[All]" allUniqueName="[RetailSalesData_100rows].[UnitsSold].[All]" dimensionUniqueName="[RetailSalesData_100rows]" displayFolder="" count="0" memberValueDatatype="20" unbalanced="0"/>
    <cacheHierarchy uniqueName="[RetailSalesData_100rows].[UnitPrice]" caption="UnitPrice" attribute="1" defaultMemberUniqueName="[RetailSalesData_100rows].[UnitPrice].[All]" allUniqueName="[RetailSalesData_100rows].[UnitPrice].[All]" dimensionUniqueName="[RetailSalesData_100rows]" displayFolder="" count="0" memberValueDatatype="5" unbalanced="0"/>
    <cacheHierarchy uniqueName="[RetailSalesData_100rows].[Revenue]" caption="Revenue" attribute="1" defaultMemberUniqueName="[RetailSalesData_100rows].[Revenue].[All]" allUniqueName="[RetailSalesData_100rows].[Revenue].[All]" dimensionUniqueName="[RetailSalesData_100rows]" displayFolder="" count="0" memberValueDatatype="5" unbalanced="0"/>
    <cacheHierarchy uniqueName="[RetailSalesData_100rows].[Month Name]" caption="Month Name" attribute="1" defaultMemberUniqueName="[RetailSalesData_100rows].[Month Name].[All]" allUniqueName="[RetailSalesData_100rows].[Month Name].[All]" dimensionUniqueName="[RetailSalesData_100rows]" displayFolder="" count="0" memberValueDatatype="130" unbalanced="0"/>
    <cacheHierarchy uniqueName="[RetailSalesData_100rows].[Month]" caption="Month" attribute="1" defaultMemberUniqueName="[RetailSalesData_100rows].[Month].[All]" allUniqueName="[RetailSalesData_100rows].[Month].[All]" dimensionUniqueName="[RetailSalesData_100rows]" displayFolder="" count="0" memberValueDatatype="20" unbalanced="0"/>
    <cacheHierarchy uniqueName="[RetailSalesData_100rows].[Day Name]" caption="Day Name" attribute="1" defaultMemberUniqueName="[RetailSalesData_100rows].[Day Name].[All]" allUniqueName="[RetailSalesData_100rows].[Day Name].[All]" dimensionUniqueName="[RetailSalesData_100rows]" displayFolder="" count="2" memberValueDatatype="130" unbalanced="0">
      <fieldsUsage count="2">
        <fieldUsage x="-1"/>
        <fieldUsage x="0"/>
      </fieldsUsage>
    </cacheHierarchy>
    <cacheHierarchy uniqueName="[Measures].[Total revenue]" caption="Total revenue" measure="1" displayFolder="" measureGroup="RetailSalesData_100rows" count="0"/>
    <cacheHierarchy uniqueName="[Measures].[Total units sold]" caption="Total units sold" measure="1" displayFolder="" measureGroup="RetailSalesData_100rows" count="0" oneField="1">
      <fieldsUsage count="1">
        <fieldUsage x="1"/>
      </fieldsUsage>
    </cacheHierarchy>
    <cacheHierarchy uniqueName="[Measures].[Total orders]" caption="Total orders" measure="1" displayFolder="" measureGroup="RetailSalesData_100rows" count="0"/>
    <cacheHierarchy uniqueName="[Measures].[__XL_Count RetailSalesData_100rows]" caption="__XL_Count RetailSalesData_100rows" measure="1" displayFolder="" measureGroup="RetailSalesData_100rows" count="0" hidden="1"/>
    <cacheHierarchy uniqueName="[Measures].[__No measures defined]" caption="__No measures defined" measure="1" displayFolder="" count="0" hidden="1"/>
  </cacheHierarchies>
  <kpis count="0"/>
  <dimensions count="2">
    <dimension measure="1" name="Measures" uniqueName="[Measures]" caption="Measures"/>
    <dimension name="RetailSalesData_100rows" uniqueName="[RetailSalesData_100rows]" caption="RetailSalesData_100rows"/>
  </dimensions>
  <measureGroups count="1">
    <measureGroup name="RetailSalesData_100rows" caption="RetailSalesData_100row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un chanaka" refreshedDate="46017.972715625001" backgroundQuery="1" createdVersion="8" refreshedVersion="8" minRefreshableVersion="3" recordCount="0" supportSubquery="1" supportAdvancedDrill="1" xr:uid="{A05D57AA-EBB1-4BD4-A8CD-140FCC374895}">
  <cacheSource type="external" connectionId="3"/>
  <cacheFields count="2">
    <cacheField name="[RetailSalesData_100rows].[Product].[Product]" caption="Product" numFmtId="0" hierarchy="4" level="1">
      <sharedItems count="6">
        <s v="Chair"/>
        <s v="Laptop"/>
        <s v="Mobile"/>
        <s v="Printer"/>
        <s v="Table"/>
        <s v="Tablet"/>
      </sharedItems>
    </cacheField>
    <cacheField name="[Measures].[Total units sold]" caption="Total units sold" numFmtId="0" hierarchy="13" level="32767"/>
  </cacheFields>
  <cacheHierarchies count="17">
    <cacheHierarchy uniqueName="[RetailSalesData_100rows].[OrderID]" caption="OrderID" attribute="1" defaultMemberUniqueName="[RetailSalesData_100rows].[OrderID].[All]" allUniqueName="[RetailSalesData_100rows].[OrderID].[All]" dimensionUniqueName="[RetailSalesData_100rows]" displayFolder="" count="0" memberValueDatatype="130" unbalanced="0"/>
    <cacheHierarchy uniqueName="[RetailSalesData_100rows].[OrderDate]" caption="OrderDate" attribute="1" time="1" defaultMemberUniqueName="[RetailSalesData_100rows].[OrderDate].[All]" allUniqueName="[RetailSalesData_100rows].[OrderDate].[All]" dimensionUniqueName="[RetailSalesData_100rows]" displayFolder="" count="2" memberValueDatatype="7" unbalanced="0"/>
    <cacheHierarchy uniqueName="[RetailSalesData_100rows].[Region]" caption="Region" attribute="1" defaultMemberUniqueName="[RetailSalesData_100rows].[Region].[All]" allUniqueName="[RetailSalesData_100rows].[Region].[All]" dimensionUniqueName="[RetailSalesData_100rows]" displayFolder="" count="2" memberValueDatatype="130" unbalanced="0"/>
    <cacheHierarchy uniqueName="[RetailSalesData_100rows].[SalesPerson]" caption="SalesPerson" attribute="1" defaultMemberUniqueName="[RetailSalesData_100rows].[SalesPerson].[All]" allUniqueName="[RetailSalesData_100rows].[SalesPerson].[All]" dimensionUniqueName="[RetailSalesData_100rows]" displayFolder="" count="2" memberValueDatatype="130" unbalanced="0"/>
    <cacheHierarchy uniqueName="[RetailSalesData_100rows].[Product]" caption="Product" attribute="1" defaultMemberUniqueName="[RetailSalesData_100rows].[Product].[All]" allUniqueName="[RetailSalesData_100rows].[Product].[All]" dimensionUniqueName="[RetailSalesData_100rows]" displayFolder="" count="2" memberValueDatatype="130" unbalanced="0">
      <fieldsUsage count="2">
        <fieldUsage x="-1"/>
        <fieldUsage x="0"/>
      </fieldsUsage>
    </cacheHierarchy>
    <cacheHierarchy uniqueName="[RetailSalesData_100rows].[Category]" caption="Category" attribute="1" defaultMemberUniqueName="[RetailSalesData_100rows].[Category].[All]" allUniqueName="[RetailSalesData_100rows].[Category].[All]" dimensionUniqueName="[RetailSalesData_100rows]" displayFolder="" count="2" memberValueDatatype="130" unbalanced="0"/>
    <cacheHierarchy uniqueName="[RetailSalesData_100rows].[UnitsSold]" caption="UnitsSold" attribute="1" defaultMemberUniqueName="[RetailSalesData_100rows].[UnitsSold].[All]" allUniqueName="[RetailSalesData_100rows].[UnitsSold].[All]" dimensionUniqueName="[RetailSalesData_100rows]" displayFolder="" count="0" memberValueDatatype="20" unbalanced="0"/>
    <cacheHierarchy uniqueName="[RetailSalesData_100rows].[UnitPrice]" caption="UnitPrice" attribute="1" defaultMemberUniqueName="[RetailSalesData_100rows].[UnitPrice].[All]" allUniqueName="[RetailSalesData_100rows].[UnitPrice].[All]" dimensionUniqueName="[RetailSalesData_100rows]" displayFolder="" count="0" memberValueDatatype="5" unbalanced="0"/>
    <cacheHierarchy uniqueName="[RetailSalesData_100rows].[Revenue]" caption="Revenue" attribute="1" defaultMemberUniqueName="[RetailSalesData_100rows].[Revenue].[All]" allUniqueName="[RetailSalesData_100rows].[Revenue].[All]" dimensionUniqueName="[RetailSalesData_100rows]" displayFolder="" count="0" memberValueDatatype="5" unbalanced="0"/>
    <cacheHierarchy uniqueName="[RetailSalesData_100rows].[Month Name]" caption="Month Name" attribute="1" defaultMemberUniqueName="[RetailSalesData_100rows].[Month Name].[All]" allUniqueName="[RetailSalesData_100rows].[Month Name].[All]" dimensionUniqueName="[RetailSalesData_100rows]" displayFolder="" count="0" memberValueDatatype="130" unbalanced="0"/>
    <cacheHierarchy uniqueName="[RetailSalesData_100rows].[Month]" caption="Month" attribute="1" defaultMemberUniqueName="[RetailSalesData_100rows].[Month].[All]" allUniqueName="[RetailSalesData_100rows].[Month].[All]" dimensionUniqueName="[RetailSalesData_100rows]" displayFolder="" count="0" memberValueDatatype="20" unbalanced="0"/>
    <cacheHierarchy uniqueName="[RetailSalesData_100rows].[Day Name]" caption="Day Name" attribute="1" defaultMemberUniqueName="[RetailSalesData_100rows].[Day Name].[All]" allUniqueName="[RetailSalesData_100rows].[Day Name].[All]" dimensionUniqueName="[RetailSalesData_100rows]" displayFolder="" count="0" memberValueDatatype="130" unbalanced="0"/>
    <cacheHierarchy uniqueName="[Measures].[Total revenue]" caption="Total revenue" measure="1" displayFolder="" measureGroup="RetailSalesData_100rows" count="0"/>
    <cacheHierarchy uniqueName="[Measures].[Total units sold]" caption="Total units sold" measure="1" displayFolder="" measureGroup="RetailSalesData_100rows" count="0" oneField="1">
      <fieldsUsage count="1">
        <fieldUsage x="1"/>
      </fieldsUsage>
    </cacheHierarchy>
    <cacheHierarchy uniqueName="[Measures].[Total orders]" caption="Total orders" measure="1" displayFolder="" measureGroup="RetailSalesData_100rows" count="0"/>
    <cacheHierarchy uniqueName="[Measures].[__XL_Count RetailSalesData_100rows]" caption="__XL_Count RetailSalesData_100rows" measure="1" displayFolder="" measureGroup="RetailSalesData_100rows" count="0" hidden="1"/>
    <cacheHierarchy uniqueName="[Measures].[__No measures defined]" caption="__No measures defined" measure="1" displayFolder="" count="0" hidden="1"/>
  </cacheHierarchies>
  <kpis count="0"/>
  <dimensions count="2">
    <dimension measure="1" name="Measures" uniqueName="[Measures]" caption="Measures"/>
    <dimension name="RetailSalesData_100rows" uniqueName="[RetailSalesData_100rows]" caption="RetailSalesData_100rows"/>
  </dimensions>
  <measureGroups count="1">
    <measureGroup name="RetailSalesData_100rows" caption="RetailSalesData_100row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un chanaka" refreshedDate="46017.972716203702" backgroundQuery="1" createdVersion="8" refreshedVersion="8" minRefreshableVersion="3" recordCount="0" supportSubquery="1" supportAdvancedDrill="1" xr:uid="{56B157B2-F01C-49D8-807E-9B0F9AA4AB4A}">
  <cacheSource type="external" connectionId="3"/>
  <cacheFields count="2">
    <cacheField name="[Measures].[Total revenue]" caption="Total revenue" numFmtId="0" hierarchy="12" level="32767"/>
    <cacheField name="[RetailSalesData_100rows].[Category].[Category]" caption="Category" numFmtId="0" hierarchy="5" level="1">
      <sharedItems count="3">
        <s v="Electronics"/>
        <s v="Furniture"/>
        <s v="Office"/>
      </sharedItems>
    </cacheField>
  </cacheFields>
  <cacheHierarchies count="17">
    <cacheHierarchy uniqueName="[RetailSalesData_100rows].[OrderID]" caption="OrderID" attribute="1" defaultMemberUniqueName="[RetailSalesData_100rows].[OrderID].[All]" allUniqueName="[RetailSalesData_100rows].[OrderID].[All]" dimensionUniqueName="[RetailSalesData_100rows]" displayFolder="" count="0" memberValueDatatype="130" unbalanced="0"/>
    <cacheHierarchy uniqueName="[RetailSalesData_100rows].[OrderDate]" caption="OrderDate" attribute="1" time="1" defaultMemberUniqueName="[RetailSalesData_100rows].[OrderDate].[All]" allUniqueName="[RetailSalesData_100rows].[OrderDate].[All]" dimensionUniqueName="[RetailSalesData_100rows]" displayFolder="" count="2" memberValueDatatype="7" unbalanced="0"/>
    <cacheHierarchy uniqueName="[RetailSalesData_100rows].[Region]" caption="Region" attribute="1" defaultMemberUniqueName="[RetailSalesData_100rows].[Region].[All]" allUniqueName="[RetailSalesData_100rows].[Region].[All]" dimensionUniqueName="[RetailSalesData_100rows]" displayFolder="" count="2" memberValueDatatype="130" unbalanced="0"/>
    <cacheHierarchy uniqueName="[RetailSalesData_100rows].[SalesPerson]" caption="SalesPerson" attribute="1" defaultMemberUniqueName="[RetailSalesData_100rows].[SalesPerson].[All]" allUniqueName="[RetailSalesData_100rows].[SalesPerson].[All]" dimensionUniqueName="[RetailSalesData_100rows]" displayFolder="" count="2" memberValueDatatype="130" unbalanced="0"/>
    <cacheHierarchy uniqueName="[RetailSalesData_100rows].[Product]" caption="Product" attribute="1" defaultMemberUniqueName="[RetailSalesData_100rows].[Product].[All]" allUniqueName="[RetailSalesData_100rows].[Product].[All]" dimensionUniqueName="[RetailSalesData_100rows]" displayFolder="" count="0" memberValueDatatype="130" unbalanced="0"/>
    <cacheHierarchy uniqueName="[RetailSalesData_100rows].[Category]" caption="Category" attribute="1" defaultMemberUniqueName="[RetailSalesData_100rows].[Category].[All]" allUniqueName="[RetailSalesData_100rows].[Category].[All]" dimensionUniqueName="[RetailSalesData_100rows]" displayFolder="" count="2" memberValueDatatype="130" unbalanced="0">
      <fieldsUsage count="2">
        <fieldUsage x="-1"/>
        <fieldUsage x="1"/>
      </fieldsUsage>
    </cacheHierarchy>
    <cacheHierarchy uniqueName="[RetailSalesData_100rows].[UnitsSold]" caption="UnitsSold" attribute="1" defaultMemberUniqueName="[RetailSalesData_100rows].[UnitsSold].[All]" allUniqueName="[RetailSalesData_100rows].[UnitsSold].[All]" dimensionUniqueName="[RetailSalesData_100rows]" displayFolder="" count="0" memberValueDatatype="20" unbalanced="0"/>
    <cacheHierarchy uniqueName="[RetailSalesData_100rows].[UnitPrice]" caption="UnitPrice" attribute="1" defaultMemberUniqueName="[RetailSalesData_100rows].[UnitPrice].[All]" allUniqueName="[RetailSalesData_100rows].[UnitPrice].[All]" dimensionUniqueName="[RetailSalesData_100rows]" displayFolder="" count="0" memberValueDatatype="5" unbalanced="0"/>
    <cacheHierarchy uniqueName="[RetailSalesData_100rows].[Revenue]" caption="Revenue" attribute="1" defaultMemberUniqueName="[RetailSalesData_100rows].[Revenue].[All]" allUniqueName="[RetailSalesData_100rows].[Revenue].[All]" dimensionUniqueName="[RetailSalesData_100rows]" displayFolder="" count="0" memberValueDatatype="5" unbalanced="0"/>
    <cacheHierarchy uniqueName="[RetailSalesData_100rows].[Month Name]" caption="Month Name" attribute="1" defaultMemberUniqueName="[RetailSalesData_100rows].[Month Name].[All]" allUniqueName="[RetailSalesData_100rows].[Month Name].[All]" dimensionUniqueName="[RetailSalesData_100rows]" displayFolder="" count="0" memberValueDatatype="130" unbalanced="0"/>
    <cacheHierarchy uniqueName="[RetailSalesData_100rows].[Month]" caption="Month" attribute="1" defaultMemberUniqueName="[RetailSalesData_100rows].[Month].[All]" allUniqueName="[RetailSalesData_100rows].[Month].[All]" dimensionUniqueName="[RetailSalesData_100rows]" displayFolder="" count="0" memberValueDatatype="20" unbalanced="0"/>
    <cacheHierarchy uniqueName="[RetailSalesData_100rows].[Day Name]" caption="Day Name" attribute="1" defaultMemberUniqueName="[RetailSalesData_100rows].[Day Name].[All]" allUniqueName="[RetailSalesData_100rows].[Day Name].[All]" dimensionUniqueName="[RetailSalesData_100rows]" displayFolder="" count="0" memberValueDatatype="130" unbalanced="0"/>
    <cacheHierarchy uniqueName="[Measures].[Total revenue]" caption="Total revenue" measure="1" displayFolder="" measureGroup="RetailSalesData_100rows" count="0" oneField="1">
      <fieldsUsage count="1">
        <fieldUsage x="0"/>
      </fieldsUsage>
    </cacheHierarchy>
    <cacheHierarchy uniqueName="[Measures].[Total units sold]" caption="Total units sold" measure="1" displayFolder="" measureGroup="RetailSalesData_100rows" count="0"/>
    <cacheHierarchy uniqueName="[Measures].[Total orders]" caption="Total orders" measure="1" displayFolder="" measureGroup="RetailSalesData_100rows" count="0"/>
    <cacheHierarchy uniqueName="[Measures].[__XL_Count RetailSalesData_100rows]" caption="__XL_Count RetailSalesData_100rows" measure="1" displayFolder="" measureGroup="RetailSalesData_100rows" count="0" hidden="1"/>
    <cacheHierarchy uniqueName="[Measures].[__No measures defined]" caption="__No measures defined" measure="1" displayFolder="" count="0" hidden="1"/>
  </cacheHierarchies>
  <kpis count="0"/>
  <dimensions count="2">
    <dimension measure="1" name="Measures" uniqueName="[Measures]" caption="Measures"/>
    <dimension name="RetailSalesData_100rows" uniqueName="[RetailSalesData_100rows]" caption="RetailSalesData_100rows"/>
  </dimensions>
  <measureGroups count="1">
    <measureGroup name="RetailSalesData_100rows" caption="RetailSalesData_100row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un chanaka" refreshedDate="46017.972717013887" backgroundQuery="1" createdVersion="8" refreshedVersion="8" minRefreshableVersion="3" recordCount="0" supportSubquery="1" supportAdvancedDrill="1" xr:uid="{44D56079-5B9F-477F-8658-0E1BAAA6C5F6}">
  <cacheSource type="external" connectionId="3"/>
  <cacheFields count="2">
    <cacheField name="[Measures].[Total revenue]" caption="Total revenue" numFmtId="0" hierarchy="12" level="32767"/>
    <cacheField name="[RetailSalesData_100rows].[Month Name].[Month Name]" caption="Month Name" numFmtId="0" hierarchy="9" level="1">
      <sharedItems count="12">
        <s v="April"/>
        <s v="August"/>
        <s v="December"/>
        <s v="February"/>
        <s v="January"/>
        <s v="July"/>
        <s v="June"/>
        <s v="March"/>
        <s v="May"/>
        <s v="November"/>
        <s v="October"/>
        <s v="September"/>
      </sharedItems>
    </cacheField>
  </cacheFields>
  <cacheHierarchies count="17">
    <cacheHierarchy uniqueName="[RetailSalesData_100rows].[OrderID]" caption="OrderID" attribute="1" defaultMemberUniqueName="[RetailSalesData_100rows].[OrderID].[All]" allUniqueName="[RetailSalesData_100rows].[OrderID].[All]" dimensionUniqueName="[RetailSalesData_100rows]" displayFolder="" count="0" memberValueDatatype="130" unbalanced="0"/>
    <cacheHierarchy uniqueName="[RetailSalesData_100rows].[OrderDate]" caption="OrderDate" attribute="1" time="1" defaultMemberUniqueName="[RetailSalesData_100rows].[OrderDate].[All]" allUniqueName="[RetailSalesData_100rows].[OrderDate].[All]" dimensionUniqueName="[RetailSalesData_100rows]" displayFolder="" count="2" memberValueDatatype="7" unbalanced="0"/>
    <cacheHierarchy uniqueName="[RetailSalesData_100rows].[Region]" caption="Region" attribute="1" defaultMemberUniqueName="[RetailSalesData_100rows].[Region].[All]" allUniqueName="[RetailSalesData_100rows].[Region].[All]" dimensionUniqueName="[RetailSalesData_100rows]" displayFolder="" count="2" memberValueDatatype="130" unbalanced="0"/>
    <cacheHierarchy uniqueName="[RetailSalesData_100rows].[SalesPerson]" caption="SalesPerson" attribute="1" defaultMemberUniqueName="[RetailSalesData_100rows].[SalesPerson].[All]" allUniqueName="[RetailSalesData_100rows].[SalesPerson].[All]" dimensionUniqueName="[RetailSalesData_100rows]" displayFolder="" count="2" memberValueDatatype="130" unbalanced="0"/>
    <cacheHierarchy uniqueName="[RetailSalesData_100rows].[Product]" caption="Product" attribute="1" defaultMemberUniqueName="[RetailSalesData_100rows].[Product].[All]" allUniqueName="[RetailSalesData_100rows].[Product].[All]" dimensionUniqueName="[RetailSalesData_100rows]" displayFolder="" count="0" memberValueDatatype="130" unbalanced="0"/>
    <cacheHierarchy uniqueName="[RetailSalesData_100rows].[Category]" caption="Category" attribute="1" defaultMemberUniqueName="[RetailSalesData_100rows].[Category].[All]" allUniqueName="[RetailSalesData_100rows].[Category].[All]" dimensionUniqueName="[RetailSalesData_100rows]" displayFolder="" count="2" memberValueDatatype="130" unbalanced="0"/>
    <cacheHierarchy uniqueName="[RetailSalesData_100rows].[UnitsSold]" caption="UnitsSold" attribute="1" defaultMemberUniqueName="[RetailSalesData_100rows].[UnitsSold].[All]" allUniqueName="[RetailSalesData_100rows].[UnitsSold].[All]" dimensionUniqueName="[RetailSalesData_100rows]" displayFolder="" count="0" memberValueDatatype="20" unbalanced="0"/>
    <cacheHierarchy uniqueName="[RetailSalesData_100rows].[UnitPrice]" caption="UnitPrice" attribute="1" defaultMemberUniqueName="[RetailSalesData_100rows].[UnitPrice].[All]" allUniqueName="[RetailSalesData_100rows].[UnitPrice].[All]" dimensionUniqueName="[RetailSalesData_100rows]" displayFolder="" count="0" memberValueDatatype="5" unbalanced="0"/>
    <cacheHierarchy uniqueName="[RetailSalesData_100rows].[Revenue]" caption="Revenue" attribute="1" defaultMemberUniqueName="[RetailSalesData_100rows].[Revenue].[All]" allUniqueName="[RetailSalesData_100rows].[Revenue].[All]" dimensionUniqueName="[RetailSalesData_100rows]" displayFolder="" count="0" memberValueDatatype="5" unbalanced="0"/>
    <cacheHierarchy uniqueName="[RetailSalesData_100rows].[Month Name]" caption="Month Name" attribute="1" defaultMemberUniqueName="[RetailSalesData_100rows].[Month Name].[All]" allUniqueName="[RetailSalesData_100rows].[Month Name].[All]" dimensionUniqueName="[RetailSalesData_100rows]" displayFolder="" count="2" memberValueDatatype="130" unbalanced="0">
      <fieldsUsage count="2">
        <fieldUsage x="-1"/>
        <fieldUsage x="1"/>
      </fieldsUsage>
    </cacheHierarchy>
    <cacheHierarchy uniqueName="[RetailSalesData_100rows].[Month]" caption="Month" attribute="1" defaultMemberUniqueName="[RetailSalesData_100rows].[Month].[All]" allUniqueName="[RetailSalesData_100rows].[Month].[All]" dimensionUniqueName="[RetailSalesData_100rows]" displayFolder="" count="0" memberValueDatatype="20" unbalanced="0"/>
    <cacheHierarchy uniqueName="[RetailSalesData_100rows].[Day Name]" caption="Day Name" attribute="1" defaultMemberUniqueName="[RetailSalesData_100rows].[Day Name].[All]" allUniqueName="[RetailSalesData_100rows].[Day Name].[All]" dimensionUniqueName="[RetailSalesData_100rows]" displayFolder="" count="0" memberValueDatatype="130" unbalanced="0"/>
    <cacheHierarchy uniqueName="[Measures].[Total revenue]" caption="Total revenue" measure="1" displayFolder="" measureGroup="RetailSalesData_100rows" count="0" oneField="1">
      <fieldsUsage count="1">
        <fieldUsage x="0"/>
      </fieldsUsage>
    </cacheHierarchy>
    <cacheHierarchy uniqueName="[Measures].[Total units sold]" caption="Total units sold" measure="1" displayFolder="" measureGroup="RetailSalesData_100rows" count="0"/>
    <cacheHierarchy uniqueName="[Measures].[Total orders]" caption="Total orders" measure="1" displayFolder="" measureGroup="RetailSalesData_100rows" count="0"/>
    <cacheHierarchy uniqueName="[Measures].[__XL_Count RetailSalesData_100rows]" caption="__XL_Count RetailSalesData_100rows" measure="1" displayFolder="" measureGroup="RetailSalesData_100rows" count="0" hidden="1"/>
    <cacheHierarchy uniqueName="[Measures].[__No measures defined]" caption="__No measures defined" measure="1" displayFolder="" count="0" hidden="1"/>
  </cacheHierarchies>
  <kpis count="0"/>
  <dimensions count="2">
    <dimension measure="1" name="Measures" uniqueName="[Measures]" caption="Measures"/>
    <dimension name="RetailSalesData_100rows" uniqueName="[RetailSalesData_100rows]" caption="RetailSalesData_100rows"/>
  </dimensions>
  <measureGroups count="1">
    <measureGroup name="RetailSalesData_100rows" caption="RetailSalesData_100row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un chanaka" refreshedDate="46017.972717476849" backgroundQuery="1" createdVersion="8" refreshedVersion="8" minRefreshableVersion="3" recordCount="0" supportSubquery="1" supportAdvancedDrill="1" xr:uid="{D11A0ABD-B808-4C0A-9195-0DC89CACE4FF}">
  <cacheSource type="external" connectionId="3"/>
  <cacheFields count="2">
    <cacheField name="[Measures].[Total revenue]" caption="Total revenue" numFmtId="0" hierarchy="12" level="32767"/>
    <cacheField name="[RetailSalesData_100rows].[Product].[Product]" caption="Product" numFmtId="0" hierarchy="4" level="1">
      <sharedItems count="6">
        <s v="Chair"/>
        <s v="Laptop"/>
        <s v="Mobile"/>
        <s v="Printer"/>
        <s v="Table"/>
        <s v="Tablet"/>
      </sharedItems>
    </cacheField>
  </cacheFields>
  <cacheHierarchies count="17">
    <cacheHierarchy uniqueName="[RetailSalesData_100rows].[OrderID]" caption="OrderID" attribute="1" defaultMemberUniqueName="[RetailSalesData_100rows].[OrderID].[All]" allUniqueName="[RetailSalesData_100rows].[OrderID].[All]" dimensionUniqueName="[RetailSalesData_100rows]" displayFolder="" count="0" memberValueDatatype="130" unbalanced="0"/>
    <cacheHierarchy uniqueName="[RetailSalesData_100rows].[OrderDate]" caption="OrderDate" attribute="1" time="1" defaultMemberUniqueName="[RetailSalesData_100rows].[OrderDate].[All]" allUniqueName="[RetailSalesData_100rows].[OrderDate].[All]" dimensionUniqueName="[RetailSalesData_100rows]" displayFolder="" count="2" memberValueDatatype="7" unbalanced="0"/>
    <cacheHierarchy uniqueName="[RetailSalesData_100rows].[Region]" caption="Region" attribute="1" defaultMemberUniqueName="[RetailSalesData_100rows].[Region].[All]" allUniqueName="[RetailSalesData_100rows].[Region].[All]" dimensionUniqueName="[RetailSalesData_100rows]" displayFolder="" count="2" memberValueDatatype="130" unbalanced="0"/>
    <cacheHierarchy uniqueName="[RetailSalesData_100rows].[SalesPerson]" caption="SalesPerson" attribute="1" defaultMemberUniqueName="[RetailSalesData_100rows].[SalesPerson].[All]" allUniqueName="[RetailSalesData_100rows].[SalesPerson].[All]" dimensionUniqueName="[RetailSalesData_100rows]" displayFolder="" count="2" memberValueDatatype="130" unbalanced="0"/>
    <cacheHierarchy uniqueName="[RetailSalesData_100rows].[Product]" caption="Product" attribute="1" defaultMemberUniqueName="[RetailSalesData_100rows].[Product].[All]" allUniqueName="[RetailSalesData_100rows].[Product].[All]" dimensionUniqueName="[RetailSalesData_100rows]" displayFolder="" count="2" memberValueDatatype="130" unbalanced="0">
      <fieldsUsage count="2">
        <fieldUsage x="-1"/>
        <fieldUsage x="1"/>
      </fieldsUsage>
    </cacheHierarchy>
    <cacheHierarchy uniqueName="[RetailSalesData_100rows].[Category]" caption="Category" attribute="1" defaultMemberUniqueName="[RetailSalesData_100rows].[Category].[All]" allUniqueName="[RetailSalesData_100rows].[Category].[All]" dimensionUniqueName="[RetailSalesData_100rows]" displayFolder="" count="2" memberValueDatatype="130" unbalanced="0"/>
    <cacheHierarchy uniqueName="[RetailSalesData_100rows].[UnitsSold]" caption="UnitsSold" attribute="1" defaultMemberUniqueName="[RetailSalesData_100rows].[UnitsSold].[All]" allUniqueName="[RetailSalesData_100rows].[UnitsSold].[All]" dimensionUniqueName="[RetailSalesData_100rows]" displayFolder="" count="0" memberValueDatatype="20" unbalanced="0"/>
    <cacheHierarchy uniqueName="[RetailSalesData_100rows].[UnitPrice]" caption="UnitPrice" attribute="1" defaultMemberUniqueName="[RetailSalesData_100rows].[UnitPrice].[All]" allUniqueName="[RetailSalesData_100rows].[UnitPrice].[All]" dimensionUniqueName="[RetailSalesData_100rows]" displayFolder="" count="0" memberValueDatatype="5" unbalanced="0"/>
    <cacheHierarchy uniqueName="[RetailSalesData_100rows].[Revenue]" caption="Revenue" attribute="1" defaultMemberUniqueName="[RetailSalesData_100rows].[Revenue].[All]" allUniqueName="[RetailSalesData_100rows].[Revenue].[All]" dimensionUniqueName="[RetailSalesData_100rows]" displayFolder="" count="0" memberValueDatatype="5" unbalanced="0"/>
    <cacheHierarchy uniqueName="[RetailSalesData_100rows].[Month Name]" caption="Month Name" attribute="1" defaultMemberUniqueName="[RetailSalesData_100rows].[Month Name].[All]" allUniqueName="[RetailSalesData_100rows].[Month Name].[All]" dimensionUniqueName="[RetailSalesData_100rows]" displayFolder="" count="0" memberValueDatatype="130" unbalanced="0"/>
    <cacheHierarchy uniqueName="[RetailSalesData_100rows].[Month]" caption="Month" attribute="1" defaultMemberUniqueName="[RetailSalesData_100rows].[Month].[All]" allUniqueName="[RetailSalesData_100rows].[Month].[All]" dimensionUniqueName="[RetailSalesData_100rows]" displayFolder="" count="0" memberValueDatatype="20" unbalanced="0"/>
    <cacheHierarchy uniqueName="[RetailSalesData_100rows].[Day Name]" caption="Day Name" attribute="1" defaultMemberUniqueName="[RetailSalesData_100rows].[Day Name].[All]" allUniqueName="[RetailSalesData_100rows].[Day Name].[All]" dimensionUniqueName="[RetailSalesData_100rows]" displayFolder="" count="0" memberValueDatatype="130" unbalanced="0"/>
    <cacheHierarchy uniqueName="[Measures].[Total revenue]" caption="Total revenue" measure="1" displayFolder="" measureGroup="RetailSalesData_100rows" count="0" oneField="1">
      <fieldsUsage count="1">
        <fieldUsage x="0"/>
      </fieldsUsage>
    </cacheHierarchy>
    <cacheHierarchy uniqueName="[Measures].[Total units sold]" caption="Total units sold" measure="1" displayFolder="" measureGroup="RetailSalesData_100rows" count="0"/>
    <cacheHierarchy uniqueName="[Measures].[Total orders]" caption="Total orders" measure="1" displayFolder="" measureGroup="RetailSalesData_100rows" count="0"/>
    <cacheHierarchy uniqueName="[Measures].[__XL_Count RetailSalesData_100rows]" caption="__XL_Count RetailSalesData_100rows" measure="1" displayFolder="" measureGroup="RetailSalesData_100rows" count="0" hidden="1"/>
    <cacheHierarchy uniqueName="[Measures].[__No measures defined]" caption="__No measures defined" measure="1" displayFolder="" count="0" hidden="1"/>
  </cacheHierarchies>
  <kpis count="0"/>
  <dimensions count="2">
    <dimension measure="1" name="Measures" uniqueName="[Measures]" caption="Measures"/>
    <dimension name="RetailSalesData_100rows" uniqueName="[RetailSalesData_100rows]" caption="RetailSalesData_100rows"/>
  </dimensions>
  <measureGroups count="1">
    <measureGroup name="RetailSalesData_100rows" caption="RetailSalesData_100row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un chanaka" refreshedDate="46017.962603703701" backgroundQuery="1" createdVersion="3" refreshedVersion="8" minRefreshableVersion="3" recordCount="0" supportSubquery="1" supportAdvancedDrill="1" xr:uid="{FE1FF9A4-7A5F-4A72-94C3-BFC8EEEC955D}">
  <cacheSource type="external" connectionId="3">
    <extLst>
      <ext xmlns:x14="http://schemas.microsoft.com/office/spreadsheetml/2009/9/main" uri="{F057638F-6D5F-4e77-A914-E7F072B9BCA8}">
        <x14:sourceConnection name="ThisWorkbookDataModel"/>
      </ext>
    </extLst>
  </cacheSource>
  <cacheFields count="0"/>
  <cacheHierarchies count="17">
    <cacheHierarchy uniqueName="[RetailSalesData_100rows].[OrderID]" caption="OrderID" attribute="1" defaultMemberUniqueName="[RetailSalesData_100rows].[OrderID].[All]" allUniqueName="[RetailSalesData_100rows].[OrderID].[All]" dimensionUniqueName="[RetailSalesData_100rows]" displayFolder="" count="0" memberValueDatatype="130" unbalanced="0"/>
    <cacheHierarchy uniqueName="[RetailSalesData_100rows].[OrderDate]" caption="OrderDate" attribute="1" time="1" defaultMemberUniqueName="[RetailSalesData_100rows].[OrderDate].[All]" allUniqueName="[RetailSalesData_100rows].[OrderDate].[All]" dimensionUniqueName="[RetailSalesData_100rows]" displayFolder="" count="0" memberValueDatatype="7" unbalanced="0"/>
    <cacheHierarchy uniqueName="[RetailSalesData_100rows].[Region]" caption="Region" attribute="1" defaultMemberUniqueName="[RetailSalesData_100rows].[Region].[All]" allUniqueName="[RetailSalesData_100rows].[Region].[All]" dimensionUniqueName="[RetailSalesData_100rows]" displayFolder="" count="2" memberValueDatatype="130" unbalanced="0"/>
    <cacheHierarchy uniqueName="[RetailSalesData_100rows].[SalesPerson]" caption="SalesPerson" attribute="1" defaultMemberUniqueName="[RetailSalesData_100rows].[SalesPerson].[All]" allUniqueName="[RetailSalesData_100rows].[SalesPerson].[All]" dimensionUniqueName="[RetailSalesData_100rows]" displayFolder="" count="2" memberValueDatatype="130" unbalanced="0"/>
    <cacheHierarchy uniqueName="[RetailSalesData_100rows].[Product]" caption="Product" attribute="1" defaultMemberUniqueName="[RetailSalesData_100rows].[Product].[All]" allUniqueName="[RetailSalesData_100rows].[Product].[All]" dimensionUniqueName="[RetailSalesData_100rows]" displayFolder="" count="0" memberValueDatatype="130" unbalanced="0"/>
    <cacheHierarchy uniqueName="[RetailSalesData_100rows].[Category]" caption="Category" attribute="1" defaultMemberUniqueName="[RetailSalesData_100rows].[Category].[All]" allUniqueName="[RetailSalesData_100rows].[Category].[All]" dimensionUniqueName="[RetailSalesData_100rows]" displayFolder="" count="2" memberValueDatatype="130" unbalanced="0"/>
    <cacheHierarchy uniqueName="[RetailSalesData_100rows].[UnitsSold]" caption="UnitsSold" attribute="1" defaultMemberUniqueName="[RetailSalesData_100rows].[UnitsSold].[All]" allUniqueName="[RetailSalesData_100rows].[UnitsSold].[All]" dimensionUniqueName="[RetailSalesData_100rows]" displayFolder="" count="0" memberValueDatatype="20" unbalanced="0"/>
    <cacheHierarchy uniqueName="[RetailSalesData_100rows].[UnitPrice]" caption="UnitPrice" attribute="1" defaultMemberUniqueName="[RetailSalesData_100rows].[UnitPrice].[All]" allUniqueName="[RetailSalesData_100rows].[UnitPrice].[All]" dimensionUniqueName="[RetailSalesData_100rows]" displayFolder="" count="0" memberValueDatatype="5" unbalanced="0"/>
    <cacheHierarchy uniqueName="[RetailSalesData_100rows].[Revenue]" caption="Revenue" attribute="1" defaultMemberUniqueName="[RetailSalesData_100rows].[Revenue].[All]" allUniqueName="[RetailSalesData_100rows].[Revenue].[All]" dimensionUniqueName="[RetailSalesData_100rows]" displayFolder="" count="0" memberValueDatatype="5" unbalanced="0"/>
    <cacheHierarchy uniqueName="[RetailSalesData_100rows].[Month Name]" caption="Month Name" attribute="1" defaultMemberUniqueName="[RetailSalesData_100rows].[Month Name].[All]" allUniqueName="[RetailSalesData_100rows].[Month Name].[All]" dimensionUniqueName="[RetailSalesData_100rows]" displayFolder="" count="0" memberValueDatatype="130" unbalanced="0"/>
    <cacheHierarchy uniqueName="[RetailSalesData_100rows].[Month]" caption="Month" attribute="1" defaultMemberUniqueName="[RetailSalesData_100rows].[Month].[All]" allUniqueName="[RetailSalesData_100rows].[Month].[All]" dimensionUniqueName="[RetailSalesData_100rows]" displayFolder="" count="0" memberValueDatatype="20" unbalanced="0"/>
    <cacheHierarchy uniqueName="[RetailSalesData_100rows].[Day Name]" caption="Day Name" attribute="1" defaultMemberUniqueName="[RetailSalesData_100rows].[Day Name].[All]" allUniqueName="[RetailSalesData_100rows].[Day Name].[All]" dimensionUniqueName="[RetailSalesData_100rows]" displayFolder="" count="0" memberValueDatatype="130" unbalanced="0"/>
    <cacheHierarchy uniqueName="[Measures].[Total revenue]" caption="Total revenue" measure="1" displayFolder="" measureGroup="RetailSalesData_100rows" count="0"/>
    <cacheHierarchy uniqueName="[Measures].[Total units sold]" caption="Total units sold" measure="1" displayFolder="" measureGroup="RetailSalesData_100rows" count="0"/>
    <cacheHierarchy uniqueName="[Measures].[Total orders]" caption="Total orders" measure="1" displayFolder="" measureGroup="RetailSalesData_100rows" count="0"/>
    <cacheHierarchy uniqueName="[Measures].[__XL_Count RetailSalesData_100rows]" caption="__XL_Count RetailSalesData_100rows" measure="1" displayFolder="" measureGroup="RetailSalesData_100row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20340824"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un chanaka" refreshedDate="46017.970167939813" backgroundQuery="1" createdVersion="3" refreshedVersion="8" minRefreshableVersion="3" recordCount="0" supportSubquery="1" supportAdvancedDrill="1" xr:uid="{EF2303A6-9753-473A-A0ED-3A72C634F9C0}">
  <cacheSource type="external" connectionId="3">
    <extLst>
      <ext xmlns:x14="http://schemas.microsoft.com/office/spreadsheetml/2009/9/main" uri="{F057638F-6D5F-4e77-A914-E7F072B9BCA8}">
        <x14:sourceConnection name="ThisWorkbookDataModel"/>
      </ext>
    </extLst>
  </cacheSource>
  <cacheFields count="0"/>
  <cacheHierarchies count="17">
    <cacheHierarchy uniqueName="[RetailSalesData_100rows].[OrderID]" caption="OrderID" attribute="1" defaultMemberUniqueName="[RetailSalesData_100rows].[OrderID].[All]" allUniqueName="[RetailSalesData_100rows].[OrderID].[All]" dimensionUniqueName="[RetailSalesData_100rows]" displayFolder="" count="0" memberValueDatatype="130" unbalanced="0"/>
    <cacheHierarchy uniqueName="[RetailSalesData_100rows].[OrderDate]" caption="OrderDate" attribute="1" time="1" defaultMemberUniqueName="[RetailSalesData_100rows].[OrderDate].[All]" allUniqueName="[RetailSalesData_100rows].[OrderDate].[All]" dimensionUniqueName="[RetailSalesData_100rows]" displayFolder="" count="2" memberValueDatatype="7" unbalanced="0"/>
    <cacheHierarchy uniqueName="[RetailSalesData_100rows].[Region]" caption="Region" attribute="1" defaultMemberUniqueName="[RetailSalesData_100rows].[Region].[All]" allUniqueName="[RetailSalesData_100rows].[Region].[All]" dimensionUniqueName="[RetailSalesData_100rows]" displayFolder="" count="0" memberValueDatatype="130" unbalanced="0"/>
    <cacheHierarchy uniqueName="[RetailSalesData_100rows].[SalesPerson]" caption="SalesPerson" attribute="1" defaultMemberUniqueName="[RetailSalesData_100rows].[SalesPerson].[All]" allUniqueName="[RetailSalesData_100rows].[SalesPerson].[All]" dimensionUniqueName="[RetailSalesData_100rows]" displayFolder="" count="0" memberValueDatatype="130" unbalanced="0"/>
    <cacheHierarchy uniqueName="[RetailSalesData_100rows].[Product]" caption="Product" attribute="1" defaultMemberUniqueName="[RetailSalesData_100rows].[Product].[All]" allUniqueName="[RetailSalesData_100rows].[Product].[All]" dimensionUniqueName="[RetailSalesData_100rows]" displayFolder="" count="0" memberValueDatatype="130" unbalanced="0"/>
    <cacheHierarchy uniqueName="[RetailSalesData_100rows].[Category]" caption="Category" attribute="1" defaultMemberUniqueName="[RetailSalesData_100rows].[Category].[All]" allUniqueName="[RetailSalesData_100rows].[Category].[All]" dimensionUniqueName="[RetailSalesData_100rows]" displayFolder="" count="0" memberValueDatatype="130" unbalanced="0"/>
    <cacheHierarchy uniqueName="[RetailSalesData_100rows].[UnitsSold]" caption="UnitsSold" attribute="1" defaultMemberUniqueName="[RetailSalesData_100rows].[UnitsSold].[All]" allUniqueName="[RetailSalesData_100rows].[UnitsSold].[All]" dimensionUniqueName="[RetailSalesData_100rows]" displayFolder="" count="0" memberValueDatatype="20" unbalanced="0"/>
    <cacheHierarchy uniqueName="[RetailSalesData_100rows].[UnitPrice]" caption="UnitPrice" attribute="1" defaultMemberUniqueName="[RetailSalesData_100rows].[UnitPrice].[All]" allUniqueName="[RetailSalesData_100rows].[UnitPrice].[All]" dimensionUniqueName="[RetailSalesData_100rows]" displayFolder="" count="0" memberValueDatatype="5" unbalanced="0"/>
    <cacheHierarchy uniqueName="[RetailSalesData_100rows].[Revenue]" caption="Revenue" attribute="1" defaultMemberUniqueName="[RetailSalesData_100rows].[Revenue].[All]" allUniqueName="[RetailSalesData_100rows].[Revenue].[All]" dimensionUniqueName="[RetailSalesData_100rows]" displayFolder="" count="0" memberValueDatatype="5" unbalanced="0"/>
    <cacheHierarchy uniqueName="[RetailSalesData_100rows].[Month Name]" caption="Month Name" attribute="1" defaultMemberUniqueName="[RetailSalesData_100rows].[Month Name].[All]" allUniqueName="[RetailSalesData_100rows].[Month Name].[All]" dimensionUniqueName="[RetailSalesData_100rows]" displayFolder="" count="0" memberValueDatatype="130" unbalanced="0"/>
    <cacheHierarchy uniqueName="[RetailSalesData_100rows].[Month]" caption="Month" attribute="1" defaultMemberUniqueName="[RetailSalesData_100rows].[Month].[All]" allUniqueName="[RetailSalesData_100rows].[Month].[All]" dimensionUniqueName="[RetailSalesData_100rows]" displayFolder="" count="0" memberValueDatatype="20" unbalanced="0"/>
    <cacheHierarchy uniqueName="[RetailSalesData_100rows].[Day Name]" caption="Day Name" attribute="1" defaultMemberUniqueName="[RetailSalesData_100rows].[Day Name].[All]" allUniqueName="[RetailSalesData_100rows].[Day Name].[All]" dimensionUniqueName="[RetailSalesData_100rows]" displayFolder="" count="0" memberValueDatatype="130" unbalanced="0"/>
    <cacheHierarchy uniqueName="[Measures].[Total revenue]" caption="Total revenue" measure="1" displayFolder="" measureGroup="RetailSalesData_100rows" count="0"/>
    <cacheHierarchy uniqueName="[Measures].[Total units sold]" caption="Total units sold" measure="1" displayFolder="" measureGroup="RetailSalesData_100rows" count="0"/>
    <cacheHierarchy uniqueName="[Measures].[Total orders]" caption="Total orders" measure="1" displayFolder="" measureGroup="RetailSalesData_100rows" count="0"/>
    <cacheHierarchy uniqueName="[Measures].[__XL_Count RetailSalesData_100rows]" caption="__XL_Count RetailSalesData_100rows" measure="1" displayFolder="" measureGroup="RetailSalesData_100row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37319555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60F71F-C05D-452D-BCA8-26487A667513}" name="PivotTable16" cacheId="327" applyNumberFormats="0" applyBorderFormats="0" applyFontFormats="0" applyPatternFormats="0" applyAlignmentFormats="0" applyWidthHeightFormats="1" dataCaption="Values" tag="615c77a6-aa81-4e5a-901c-abc64d1144d8" updatedVersion="8" minRefreshableVersion="5" useAutoFormatting="1" subtotalHiddenItems="1" itemPrintTitles="1" createdVersion="8" indent="0" outline="1" outlineData="1" multipleFieldFilters="0" chartFormat="4">
  <location ref="K25:L32" firstHeaderRow="1" firstDataRow="1" firstDataCol="1"/>
  <pivotFields count="2">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v="2"/>
    </i>
    <i>
      <x v="4"/>
    </i>
    <i>
      <x/>
    </i>
    <i>
      <x v="1"/>
    </i>
    <i>
      <x v="3"/>
    </i>
    <i>
      <x v="5"/>
    </i>
    <i t="grand">
      <x/>
    </i>
  </rowItems>
  <colItems count="1">
    <i/>
  </colItems>
  <dataFields count="1">
    <dataField fld="1" subtotal="count" baseField="0" baseItem="0"/>
  </dataFields>
  <pivotHierarchies count="17">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SalesData_100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AE96AD-2881-44F6-9058-8261DDB24BCD}" name="PivotTable14" cacheId="325" applyNumberFormats="0" applyBorderFormats="0" applyFontFormats="0" applyPatternFormats="0" applyAlignmentFormats="0" applyWidthHeightFormats="1" dataCaption="Values" tag="765b249d-9832-479a-be1c-0065bcbd12fc" updatedVersion="8" minRefreshableVersion="5" useAutoFormatting="1" itemPrintTitles="1" createdVersion="8" indent="0" outline="1" outlineData="1" multipleFieldFilters="0" chartFormat="24">
  <location ref="K14:L22" firstHeaderRow="1" firstDataRow="1" firstDataCol="1"/>
  <pivotFields count="2">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fld="1" subtotal="count" baseField="0" baseItem="0"/>
  </dataFields>
  <chartFormats count="2">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17">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SalesData_100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40B1BD-CA95-4F13-8581-C2D6100C7FC2}" name="PivotTable10" cacheId="323" applyNumberFormats="0" applyBorderFormats="0" applyFontFormats="0" applyPatternFormats="0" applyAlignmentFormats="0" applyWidthHeightFormats="1" dataCaption="Values" tag="1c00d6ac-f8be-4867-b010-b124c126f2e3" updatedVersion="8" minRefreshableVersion="5" useAutoFormatting="1" itemPrintTitles="1" createdVersion="8" indent="0" outline="1" outlineData="1" multipleFieldFilters="0">
  <location ref="B3:D4"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pivotHierarchies count="17">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SalesData_100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1EED77-5EDE-46DE-863E-BE30C479FCA0}" name="PivotTable8" cacheId="333" applyNumberFormats="0" applyBorderFormats="0" applyFontFormats="0" applyPatternFormats="0" applyAlignmentFormats="0" applyWidthHeightFormats="1" dataCaption="Values" tag="1d7f0d59-80ba-4424-abad-780a27dc419f" updatedVersion="8" minRefreshableVersion="5" useAutoFormatting="1" subtotalHiddenItems="1" itemPrintTitles="1" createdVersion="8" indent="0" outline="1" outlineData="1" multipleFieldFilters="0" chartFormat="6">
  <location ref="K3:L10" firstHeaderRow="1" firstDataRow="1" firstDataCol="1"/>
  <pivotFields count="2">
    <pivotField dataField="1" subtotalTop="0" showAll="0" defaultSubtotal="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s>
  <rowFields count="1">
    <field x="1"/>
  </rowFields>
  <rowItems count="7">
    <i>
      <x v="1"/>
    </i>
    <i>
      <x v="2"/>
    </i>
    <i>
      <x v="5"/>
    </i>
    <i>
      <x v="3"/>
    </i>
    <i>
      <x v="4"/>
    </i>
    <i>
      <x/>
    </i>
    <i t="grand">
      <x/>
    </i>
  </rowItems>
  <colItems count="1">
    <i/>
  </colItems>
  <dataFields count="1">
    <dataField fld="0" subtotal="count" baseField="0" baseItem="0"/>
  </dataFields>
  <chartFormats count="4">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 count="1" selected="0">
            <x v="1"/>
          </reference>
        </references>
      </pivotArea>
    </chartFormat>
    <chartFormat chart="5" format="4">
      <pivotArea type="data" outline="0" fieldPosition="0">
        <references count="2">
          <reference field="4294967294" count="1" selected="0">
            <x v="0"/>
          </reference>
          <reference field="1" count="1" selected="0">
            <x v="2"/>
          </reference>
        </references>
      </pivotArea>
    </chartFormat>
  </chartFormats>
  <pivotHierarchies count="17">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SalesData_100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0C8276-8B8D-4203-ACC3-E386E627E440}" name="PivotTable7" cacheId="331" applyNumberFormats="0" applyBorderFormats="0" applyFontFormats="0" applyPatternFormats="0" applyAlignmentFormats="0" applyWidthHeightFormats="1" dataCaption="Values" tag="9be7bbd9-5f4c-44fb-b285-f0f77d770025" updatedVersion="8" minRefreshableVersion="5" useAutoFormatting="1" subtotalHiddenItems="1" itemPrintTitles="1" createdVersion="8" indent="0" outline="1" outlineData="1" multipleFieldFilters="0" chartFormat="20">
  <location ref="B28:C41" firstHeaderRow="1" firstDataRow="1" firstDataCol="1"/>
  <pivotFields count="2">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17">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SalesData_100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59A3C7-AA8A-41C0-A7D9-8DED2D045068}" name="PivotTable3" cacheId="329" applyNumberFormats="0" applyBorderFormats="0" applyFontFormats="0" applyPatternFormats="0" applyAlignmentFormats="0" applyWidthHeightFormats="1" dataCaption="Values" tag="bf4b8534-f7bc-4ebf-9ed9-3bc315a6de77" updatedVersion="8" minRefreshableVersion="5" useAutoFormatting="1" subtotalHiddenItems="1" itemPrintTitles="1" createdVersion="8" indent="0" outline="1" outlineData="1" multipleFieldFilters="0" chartFormat="7">
  <location ref="B21:C25"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fld="0" subtotal="count" baseField="0" baseItem="0"/>
  </dataFields>
  <chartFormats count="5">
    <chartFormat chart="1"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 count="1" selected="0">
            <x v="0"/>
          </reference>
        </references>
      </pivotArea>
    </chartFormat>
    <chartFormat chart="6" format="7">
      <pivotArea type="data" outline="0" fieldPosition="0">
        <references count="2">
          <reference field="4294967294" count="1" selected="0">
            <x v="0"/>
          </reference>
          <reference field="1" count="1" selected="0">
            <x v="1"/>
          </reference>
        </references>
      </pivotArea>
    </chartFormat>
    <chartFormat chart="6" format="8">
      <pivotArea type="data" outline="0" fieldPosition="0">
        <references count="2">
          <reference field="4294967294" count="1" selected="0">
            <x v="0"/>
          </reference>
          <reference field="1" count="1" selected="0">
            <x v="2"/>
          </reference>
        </references>
      </pivotArea>
    </chartFormat>
  </chartFormats>
  <pivotHierarchies count="17">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SalesData_100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3275526-CF05-4A17-8F8F-F1DA177B8A3F}" name="PivotTable2" cacheId="335" applyNumberFormats="0" applyBorderFormats="0" applyFontFormats="0" applyPatternFormats="0" applyAlignmentFormats="0" applyWidthHeightFormats="1" dataCaption="Values" tag="2903d36f-547a-4a3e-9dca-a4ed3c7b7bf8" updatedVersion="8" minRefreshableVersion="5" useAutoFormatting="1" itemPrintTitles="1" createdVersion="8" indent="0" outline="1" outlineData="1" multipleFieldFilters="0" chartFormat="5">
  <location ref="B13:C1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fld="1" subtotal="count" baseField="0" baseItem="0"/>
  </dataFields>
  <chartFormats count="5">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0"/>
          </reference>
        </references>
      </pivotArea>
    </chartFormat>
    <chartFormat chart="4" format="4">
      <pivotArea type="data" outline="0" fieldPosition="0">
        <references count="2">
          <reference field="4294967294" count="1" selected="0">
            <x v="0"/>
          </reference>
          <reference field="0" count="1" selected="0">
            <x v="1"/>
          </reference>
        </references>
      </pivotArea>
    </chartFormat>
    <chartFormat chart="4" format="5">
      <pivotArea type="data" outline="0" fieldPosition="0">
        <references count="2">
          <reference field="4294967294" count="1" selected="0">
            <x v="0"/>
          </reference>
          <reference field="0" count="1" selected="0">
            <x v="3"/>
          </reference>
        </references>
      </pivotArea>
    </chartFormat>
  </chartFormats>
  <pivotHierarchies count="17">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SalesData_100row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85BEAC06-2E81-41E4-997A-C3F60B1989E3}" autoFormatId="16" applyNumberFormats="0" applyBorderFormats="0" applyFontFormats="0" applyPatternFormats="0" applyAlignmentFormats="0" applyWidthHeightFormats="0">
  <queryTableRefresh nextId="13">
    <queryTableFields count="12">
      <queryTableField id="1" name="OrderID" tableColumnId="1"/>
      <queryTableField id="2" name="OrderDate" tableColumnId="2"/>
      <queryTableField id="3" name="Region" tableColumnId="3"/>
      <queryTableField id="4" name="SalesPerson" tableColumnId="4"/>
      <queryTableField id="5" name="Product" tableColumnId="5"/>
      <queryTableField id="6" name="Category" tableColumnId="6"/>
      <queryTableField id="7" name="UnitsSold" tableColumnId="7"/>
      <queryTableField id="8" name="UnitPrice" tableColumnId="8"/>
      <queryTableField id="9" name="Revenue" tableColumnId="9"/>
      <queryTableField id="10" name="Month Name" tableColumnId="10"/>
      <queryTableField id="11" name="Month" tableColumnId="11"/>
      <queryTableField id="12" name="Day Name" tableColumnId="12"/>
    </queryTableFields>
  </queryTableRefresh>
  <extLst>
    <ext xmlns:x15="http://schemas.microsoft.com/office/spreadsheetml/2010/11/main" uri="{883FBD77-0823-4a55-B5E3-86C4891E6966}">
      <x15:queryTable sourceDataName="Query - RetailSalesData_100row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F928213-BF2B-4BD4-BEED-AD1E9524D64B}" sourceName="[RetailSalesData_100rows].[Category]">
  <pivotTables>
    <pivotTable tabId="1" name="PivotTable2"/>
    <pivotTable tabId="1" name="PivotTable10"/>
    <pivotTable tabId="1" name="PivotTable14"/>
    <pivotTable tabId="1" name="PivotTable16"/>
    <pivotTable tabId="1" name="PivotTable3"/>
    <pivotTable tabId="1" name="PivotTable7"/>
    <pivotTable tabId="1" name="PivotTable8"/>
  </pivotTables>
  <data>
    <olap pivotCacheId="1020340824">
      <levels count="2">
        <level uniqueName="[RetailSalesData_100rows].[Category].[(All)]" sourceCaption="(All)" count="0"/>
        <level uniqueName="[RetailSalesData_100rows].[Category].[Category]" sourceCaption="Category" count="3">
          <ranges>
            <range startItem="0">
              <i n="[RetailSalesData_100rows].[Category].&amp;[Electronics]" c="Electronics"/>
              <i n="[RetailSalesData_100rows].[Category].&amp;[Furniture]" c="Furniture"/>
              <i n="[RetailSalesData_100rows].[Category].&amp;[Office]" c="Office"/>
            </range>
          </ranges>
        </level>
      </levels>
      <selections count="1">
        <selection n="[RetailSalesData_100row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AACA36C-9D99-44C5-82B8-D69622E348E0}" sourceName="[RetailSalesData_100rows].[Region]">
  <pivotTables>
    <pivotTable tabId="1" name="PivotTable2"/>
    <pivotTable tabId="1" name="PivotTable10"/>
    <pivotTable tabId="1" name="PivotTable14"/>
    <pivotTable tabId="1" name="PivotTable16"/>
    <pivotTable tabId="1" name="PivotTable3"/>
    <pivotTable tabId="1" name="PivotTable7"/>
    <pivotTable tabId="1" name="PivotTable8"/>
  </pivotTables>
  <data>
    <olap pivotCacheId="1020340824">
      <levels count="2">
        <level uniqueName="[RetailSalesData_100rows].[Region].[(All)]" sourceCaption="(All)" count="0"/>
        <level uniqueName="[RetailSalesData_100rows].[Region].[Region]" sourceCaption="Region" count="4">
          <ranges>
            <range startItem="0">
              <i n="[RetailSalesData_100rows].[Region].&amp;[Colombo]" c="Colombo"/>
              <i n="[RetailSalesData_100rows].[Region].&amp;[Galle]" c="Galle"/>
              <i n="[RetailSalesData_100rows].[Region].&amp;[Jaffna]" c="Jaffna"/>
              <i n="[RetailSalesData_100rows].[Region].&amp;[Kandy]" c="Kandy"/>
            </range>
          </ranges>
        </level>
      </levels>
      <selections count="1">
        <selection n="[RetailSalesData_100rows].[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237BAE28-3211-4D17-8C72-DC81273D150A}" sourceName="[RetailSalesData_100rows].[SalesPerson]">
  <pivotTables>
    <pivotTable tabId="1" name="PivotTable2"/>
    <pivotTable tabId="1" name="PivotTable10"/>
    <pivotTable tabId="1" name="PivotTable14"/>
    <pivotTable tabId="1" name="PivotTable16"/>
    <pivotTable tabId="1" name="PivotTable3"/>
    <pivotTable tabId="1" name="PivotTable7"/>
    <pivotTable tabId="1" name="PivotTable8"/>
  </pivotTables>
  <data>
    <olap pivotCacheId="1020340824">
      <levels count="2">
        <level uniqueName="[RetailSalesData_100rows].[SalesPerson].[(All)]" sourceCaption="(All)" count="0"/>
        <level uniqueName="[RetailSalesData_100rows].[SalesPerson].[SalesPerson]" sourceCaption="SalesPerson" count="4">
          <ranges>
            <range startItem="0">
              <i n="[RetailSalesData_100rows].[SalesPerson].&amp;[Kamal]" c="Kamal"/>
              <i n="[RetailSalesData_100rows].[SalesPerson].&amp;[Nimal]" c="Nimal"/>
              <i n="[RetailSalesData_100rows].[SalesPerson].&amp;[Ruwan]" c="Ruwan"/>
              <i n="[RetailSalesData_100rows].[SalesPerson].&amp;[Saman]" c="Saman"/>
            </range>
          </ranges>
        </level>
      </levels>
      <selections count="1">
        <selection n="[RetailSalesData_100rows].[SalesPers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A2929D2B-0C81-4B4C-B93F-C668B2C013F2}" cache="Slicer_Category" caption="Category" level="1" style="Slicer Style 1" rowHeight="234950"/>
  <slicer name="Region 1" xr10:uid="{27169E53-EEC2-4941-A3E4-D022F841B93B}" cache="Slicer_Region" caption="Region" level="1" style="Slicer Style 1" rowHeight="234950"/>
  <slicer name="SalesPerson 1" xr10:uid="{BDC2212F-31DD-4B88-9332-509B39C347C8}" cache="Slicer_SalesPerson" caption="SalesPerson" level="1"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90E7E64-69E8-4F0D-9E02-965FC2499159}" cache="Slicer_Category" caption="Category" level="1" rowHeight="234950"/>
  <slicer name="Region" xr10:uid="{45182AF9-ACD3-4FB3-A3A4-C9A6A6663079}" cache="Slicer_Region" caption="Region" level="1" rowHeight="234950"/>
  <slicer name="SalesPerson" xr10:uid="{3AE70839-C536-4188-9ADD-37DD8FE28AE6}" cache="Slicer_SalesPerson" caption="SalesPers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99A9645-5211-4271-BE60-8B7BF7F1E77F}" name="RetailSalesData_100rows" displayName="RetailSalesData_100rows" ref="A1:L101" tableType="queryTable" totalsRowShown="0">
  <autoFilter ref="A1:L101" xr:uid="{199A9645-5211-4271-BE60-8B7BF7F1E77F}"/>
  <tableColumns count="12">
    <tableColumn id="1" xr3:uid="{341ABC96-E686-40A7-8FFD-8896F40A732C}" uniqueName="1" name="OrderID" queryTableFieldId="1" dataDxfId="9"/>
    <tableColumn id="2" xr3:uid="{049A1B52-8FA9-4AE4-8818-2B89BD71CA38}" uniqueName="2" name="OrderDate" queryTableFieldId="2" dataDxfId="8"/>
    <tableColumn id="3" xr3:uid="{F7C70A5D-4A5B-4C73-A314-B263FB58447C}" uniqueName="3" name="Region" queryTableFieldId="3" dataDxfId="7"/>
    <tableColumn id="4" xr3:uid="{A4867CB3-0BED-4E32-8060-81AFF11AB06B}" uniqueName="4" name="SalesPerson" queryTableFieldId="4" dataDxfId="6"/>
    <tableColumn id="5" xr3:uid="{00E77AB8-28AF-453C-870A-B20E3BF5E7DB}" uniqueName="5" name="Product" queryTableFieldId="5" dataDxfId="5"/>
    <tableColumn id="6" xr3:uid="{711C946D-0686-4F6A-91BC-BCE4F10B3BD6}" uniqueName="6" name="Category" queryTableFieldId="6" dataDxfId="4"/>
    <tableColumn id="7" xr3:uid="{9054A86A-34A0-4B4F-9191-D6116A21AAFB}" uniqueName="7" name="UnitsSold" queryTableFieldId="7"/>
    <tableColumn id="8" xr3:uid="{098D8DC3-8288-4CF0-9AD8-1EC0786BC361}" uniqueName="8" name="UnitPrice" queryTableFieldId="8"/>
    <tableColumn id="9" xr3:uid="{205652CA-9857-43AB-A08A-ED9F873D29D4}" uniqueName="9" name="Revenue" queryTableFieldId="9"/>
    <tableColumn id="10" xr3:uid="{73D99C2A-4404-4E48-B90A-074905BA1CC8}" uniqueName="10" name="Month Name" queryTableFieldId="10" dataDxfId="3"/>
    <tableColumn id="11" xr3:uid="{B952DD6C-76D8-443C-9B80-56785D354ED5}" uniqueName="11" name="Month" queryTableFieldId="11"/>
    <tableColumn id="12" xr3:uid="{7E782CCB-92FB-4E77-AEAD-45EEEC57F5D4}" uniqueName="12" name="Day Name" queryTableFieldId="12"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Date" xr10:uid="{DC92CA2E-B741-47D6-B7FD-3C164CEB1BAD}" sourceName="[RetailSalesData_100rows].[OrderDate]">
  <pivotTables>
    <pivotTable tabId="1" name="PivotTable2"/>
    <pivotTable tabId="1" name="PivotTable10"/>
    <pivotTable tabId="1" name="PivotTable14"/>
    <pivotTable tabId="1" name="PivotTable16"/>
    <pivotTable tabId="1" name="PivotTable3"/>
    <pivotTable tabId="1" name="PivotTable7"/>
    <pivotTable tabId="1" name="PivotTable8"/>
  </pivotTables>
  <state minimalRefreshVersion="6" lastRefreshVersion="6" pivotCacheId="373195555"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1" xr10:uid="{29354302-2571-4C6B-BF5A-834DD62637C5}" cache="Timeline_OrderDate" caption="OrderDate" level="2" selectionLevel="2" scrollPosition="2024-04-22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56CEB369-955C-42CE-8F03-8A72C76BAF4E}" cache="Timeline_OrderDate" caption="OrderDate" level="2" selectionLevel="2" scrollPosition="2024-05-1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2.xml"/><Relationship Id="rId4" Type="http://schemas.openxmlformats.org/officeDocument/2006/relationships/pivotTable" Target="../pivotTables/pivotTable4.xml"/><Relationship Id="rId9"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6B6B7-4776-4286-952F-CDDF019B658A}">
  <dimension ref="A1:L101"/>
  <sheetViews>
    <sheetView workbookViewId="0">
      <selection activeCell="B5" sqref="B5"/>
    </sheetView>
  </sheetViews>
  <sheetFormatPr defaultRowHeight="14.4" x14ac:dyDescent="0.3"/>
  <cols>
    <col min="1" max="1" width="9.77734375" bestFit="1" customWidth="1"/>
    <col min="2" max="2" width="11.88671875" bestFit="1" customWidth="1"/>
    <col min="3" max="3" width="9" bestFit="1" customWidth="1"/>
    <col min="4" max="4" width="13.21875" bestFit="1" customWidth="1"/>
    <col min="5" max="5" width="9.88671875" bestFit="1" customWidth="1"/>
    <col min="6" max="6" width="10.77734375" bestFit="1" customWidth="1"/>
    <col min="7" max="7" width="11.21875" bestFit="1" customWidth="1"/>
    <col min="8" max="8" width="10.88671875" bestFit="1" customWidth="1"/>
    <col min="9" max="9" width="10.5546875" bestFit="1" customWidth="1"/>
    <col min="10" max="10" width="14.44140625" bestFit="1" customWidth="1"/>
    <col min="11" max="11" width="9" bestFit="1" customWidth="1"/>
    <col min="12" max="12" width="11.886718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s="1" t="s">
        <v>12</v>
      </c>
      <c r="B2" s="2">
        <v>45619</v>
      </c>
      <c r="C2" s="1" t="s">
        <v>13</v>
      </c>
      <c r="D2" s="1" t="s">
        <v>14</v>
      </c>
      <c r="E2" s="1" t="s">
        <v>15</v>
      </c>
      <c r="F2" s="1" t="s">
        <v>16</v>
      </c>
      <c r="G2">
        <v>5</v>
      </c>
      <c r="H2">
        <v>45000</v>
      </c>
      <c r="I2">
        <v>225000</v>
      </c>
      <c r="J2" s="1" t="s">
        <v>17</v>
      </c>
      <c r="K2">
        <v>11</v>
      </c>
      <c r="L2" s="1" t="s">
        <v>18</v>
      </c>
    </row>
    <row r="3" spans="1:12" x14ac:dyDescent="0.3">
      <c r="A3" s="1" t="s">
        <v>19</v>
      </c>
      <c r="B3" s="2">
        <v>45417</v>
      </c>
      <c r="C3" s="1" t="s">
        <v>20</v>
      </c>
      <c r="D3" s="1" t="s">
        <v>21</v>
      </c>
      <c r="E3" s="1" t="s">
        <v>15</v>
      </c>
      <c r="F3" s="1" t="s">
        <v>16</v>
      </c>
      <c r="G3">
        <v>2</v>
      </c>
      <c r="H3">
        <v>45000</v>
      </c>
      <c r="I3">
        <v>90000</v>
      </c>
      <c r="J3" s="1" t="s">
        <v>22</v>
      </c>
      <c r="K3">
        <v>5</v>
      </c>
      <c r="L3" s="1" t="s">
        <v>23</v>
      </c>
    </row>
    <row r="4" spans="1:12" x14ac:dyDescent="0.3">
      <c r="A4" s="1" t="s">
        <v>24</v>
      </c>
      <c r="B4" s="2">
        <v>45638</v>
      </c>
      <c r="C4" s="1" t="s">
        <v>13</v>
      </c>
      <c r="D4" s="1" t="s">
        <v>25</v>
      </c>
      <c r="E4" s="1" t="s">
        <v>26</v>
      </c>
      <c r="F4" s="1" t="s">
        <v>27</v>
      </c>
      <c r="G4">
        <v>1</v>
      </c>
      <c r="H4">
        <v>185000</v>
      </c>
      <c r="I4">
        <v>185000</v>
      </c>
      <c r="J4" s="1" t="s">
        <v>28</v>
      </c>
      <c r="K4">
        <v>12</v>
      </c>
      <c r="L4" s="1" t="s">
        <v>29</v>
      </c>
    </row>
    <row r="5" spans="1:12" x14ac:dyDescent="0.3">
      <c r="A5" s="1" t="s">
        <v>30</v>
      </c>
      <c r="B5" s="2">
        <v>45339</v>
      </c>
      <c r="C5" s="1" t="s">
        <v>20</v>
      </c>
      <c r="D5" s="1" t="s">
        <v>21</v>
      </c>
      <c r="E5" s="1" t="s">
        <v>31</v>
      </c>
      <c r="F5" s="1" t="s">
        <v>16</v>
      </c>
      <c r="G5">
        <v>10</v>
      </c>
      <c r="H5">
        <v>12000</v>
      </c>
      <c r="I5">
        <v>120000</v>
      </c>
      <c r="J5" s="1" t="s">
        <v>32</v>
      </c>
      <c r="K5">
        <v>2</v>
      </c>
      <c r="L5" s="1" t="s">
        <v>18</v>
      </c>
    </row>
    <row r="6" spans="1:12" x14ac:dyDescent="0.3">
      <c r="A6" s="1" t="s">
        <v>33</v>
      </c>
      <c r="B6" s="2">
        <v>45305</v>
      </c>
      <c r="C6" s="1" t="s">
        <v>20</v>
      </c>
      <c r="D6" s="1" t="s">
        <v>25</v>
      </c>
      <c r="E6" s="1" t="s">
        <v>34</v>
      </c>
      <c r="F6" s="1" t="s">
        <v>27</v>
      </c>
      <c r="G6">
        <v>8</v>
      </c>
      <c r="H6">
        <v>85000</v>
      </c>
      <c r="I6">
        <v>680000</v>
      </c>
      <c r="J6" s="1" t="s">
        <v>35</v>
      </c>
      <c r="K6">
        <v>1</v>
      </c>
      <c r="L6" s="1" t="s">
        <v>23</v>
      </c>
    </row>
    <row r="7" spans="1:12" x14ac:dyDescent="0.3">
      <c r="A7" s="1" t="s">
        <v>36</v>
      </c>
      <c r="B7" s="2">
        <v>45593</v>
      </c>
      <c r="C7" s="1" t="s">
        <v>37</v>
      </c>
      <c r="D7" s="1" t="s">
        <v>14</v>
      </c>
      <c r="E7" s="1" t="s">
        <v>34</v>
      </c>
      <c r="F7" s="1" t="s">
        <v>27</v>
      </c>
      <c r="G7">
        <v>7</v>
      </c>
      <c r="H7">
        <v>85000</v>
      </c>
      <c r="I7">
        <v>595000</v>
      </c>
      <c r="J7" s="1" t="s">
        <v>38</v>
      </c>
      <c r="K7">
        <v>10</v>
      </c>
      <c r="L7" s="1" t="s">
        <v>39</v>
      </c>
    </row>
    <row r="8" spans="1:12" x14ac:dyDescent="0.3">
      <c r="A8" s="1" t="s">
        <v>40</v>
      </c>
      <c r="B8" s="2">
        <v>45466</v>
      </c>
      <c r="C8" s="1" t="s">
        <v>37</v>
      </c>
      <c r="D8" s="1" t="s">
        <v>21</v>
      </c>
      <c r="E8" s="1" t="s">
        <v>34</v>
      </c>
      <c r="F8" s="1" t="s">
        <v>27</v>
      </c>
      <c r="G8">
        <v>6</v>
      </c>
      <c r="H8">
        <v>85000</v>
      </c>
      <c r="I8">
        <v>510000</v>
      </c>
      <c r="J8" s="1" t="s">
        <v>41</v>
      </c>
      <c r="K8">
        <v>6</v>
      </c>
      <c r="L8" s="1" t="s">
        <v>23</v>
      </c>
    </row>
    <row r="9" spans="1:12" x14ac:dyDescent="0.3">
      <c r="A9" s="1" t="s">
        <v>42</v>
      </c>
      <c r="B9" s="2">
        <v>45344</v>
      </c>
      <c r="C9" s="1" t="s">
        <v>13</v>
      </c>
      <c r="D9" s="1" t="s">
        <v>25</v>
      </c>
      <c r="E9" s="1" t="s">
        <v>26</v>
      </c>
      <c r="F9" s="1" t="s">
        <v>27</v>
      </c>
      <c r="G9">
        <v>6</v>
      </c>
      <c r="H9">
        <v>185000</v>
      </c>
      <c r="I9">
        <v>1110000</v>
      </c>
      <c r="J9" s="1" t="s">
        <v>32</v>
      </c>
      <c r="K9">
        <v>2</v>
      </c>
      <c r="L9" s="1" t="s">
        <v>29</v>
      </c>
    </row>
    <row r="10" spans="1:12" x14ac:dyDescent="0.3">
      <c r="A10" s="1" t="s">
        <v>43</v>
      </c>
      <c r="B10" s="2">
        <v>45468</v>
      </c>
      <c r="C10" s="1" t="s">
        <v>37</v>
      </c>
      <c r="D10" s="1" t="s">
        <v>14</v>
      </c>
      <c r="E10" s="1" t="s">
        <v>15</v>
      </c>
      <c r="F10" s="1" t="s">
        <v>16</v>
      </c>
      <c r="G10">
        <v>8</v>
      </c>
      <c r="H10">
        <v>45000</v>
      </c>
      <c r="I10">
        <v>360000</v>
      </c>
      <c r="J10" s="1" t="s">
        <v>41</v>
      </c>
      <c r="K10">
        <v>6</v>
      </c>
      <c r="L10" s="1" t="s">
        <v>44</v>
      </c>
    </row>
    <row r="11" spans="1:12" x14ac:dyDescent="0.3">
      <c r="A11" s="1" t="s">
        <v>45</v>
      </c>
      <c r="B11" s="2">
        <v>45566</v>
      </c>
      <c r="C11" s="1" t="s">
        <v>13</v>
      </c>
      <c r="D11" s="1" t="s">
        <v>25</v>
      </c>
      <c r="E11" s="1" t="s">
        <v>26</v>
      </c>
      <c r="F11" s="1" t="s">
        <v>27</v>
      </c>
      <c r="G11">
        <v>9</v>
      </c>
      <c r="H11">
        <v>185000</v>
      </c>
      <c r="I11">
        <v>1665000</v>
      </c>
      <c r="J11" s="1" t="s">
        <v>38</v>
      </c>
      <c r="K11">
        <v>10</v>
      </c>
      <c r="L11" s="1" t="s">
        <v>44</v>
      </c>
    </row>
    <row r="12" spans="1:12" x14ac:dyDescent="0.3">
      <c r="A12" s="1" t="s">
        <v>46</v>
      </c>
      <c r="B12" s="2">
        <v>45442</v>
      </c>
      <c r="C12" s="1" t="s">
        <v>37</v>
      </c>
      <c r="D12" s="1" t="s">
        <v>21</v>
      </c>
      <c r="E12" s="1" t="s">
        <v>15</v>
      </c>
      <c r="F12" s="1" t="s">
        <v>16</v>
      </c>
      <c r="G12">
        <v>2</v>
      </c>
      <c r="H12">
        <v>45000</v>
      </c>
      <c r="I12">
        <v>90000</v>
      </c>
      <c r="J12" s="1" t="s">
        <v>22</v>
      </c>
      <c r="K12">
        <v>5</v>
      </c>
      <c r="L12" s="1" t="s">
        <v>29</v>
      </c>
    </row>
    <row r="13" spans="1:12" x14ac:dyDescent="0.3">
      <c r="A13" s="1" t="s">
        <v>47</v>
      </c>
      <c r="B13" s="2">
        <v>45315</v>
      </c>
      <c r="C13" s="1" t="s">
        <v>20</v>
      </c>
      <c r="D13" s="1" t="s">
        <v>48</v>
      </c>
      <c r="E13" s="1" t="s">
        <v>26</v>
      </c>
      <c r="F13" s="1" t="s">
        <v>27</v>
      </c>
      <c r="G13">
        <v>4</v>
      </c>
      <c r="H13">
        <v>185000</v>
      </c>
      <c r="I13">
        <v>740000</v>
      </c>
      <c r="J13" s="1" t="s">
        <v>35</v>
      </c>
      <c r="K13">
        <v>1</v>
      </c>
      <c r="L13" s="1" t="s">
        <v>49</v>
      </c>
    </row>
    <row r="14" spans="1:12" x14ac:dyDescent="0.3">
      <c r="A14" s="1" t="s">
        <v>50</v>
      </c>
      <c r="B14" s="2">
        <v>45343</v>
      </c>
      <c r="C14" s="1" t="s">
        <v>51</v>
      </c>
      <c r="D14" s="1" t="s">
        <v>48</v>
      </c>
      <c r="E14" s="1" t="s">
        <v>52</v>
      </c>
      <c r="F14" s="1" t="s">
        <v>27</v>
      </c>
      <c r="G14">
        <v>6</v>
      </c>
      <c r="H14">
        <v>125000</v>
      </c>
      <c r="I14">
        <v>750000</v>
      </c>
      <c r="J14" s="1" t="s">
        <v>32</v>
      </c>
      <c r="K14">
        <v>2</v>
      </c>
      <c r="L14" s="1" t="s">
        <v>49</v>
      </c>
    </row>
    <row r="15" spans="1:12" x14ac:dyDescent="0.3">
      <c r="A15" s="1" t="s">
        <v>53</v>
      </c>
      <c r="B15" s="2">
        <v>45375</v>
      </c>
      <c r="C15" s="1" t="s">
        <v>37</v>
      </c>
      <c r="D15" s="1" t="s">
        <v>48</v>
      </c>
      <c r="E15" s="1" t="s">
        <v>34</v>
      </c>
      <c r="F15" s="1" t="s">
        <v>27</v>
      </c>
      <c r="G15">
        <v>5</v>
      </c>
      <c r="H15">
        <v>85000</v>
      </c>
      <c r="I15">
        <v>425000</v>
      </c>
      <c r="J15" s="1" t="s">
        <v>54</v>
      </c>
      <c r="K15">
        <v>3</v>
      </c>
      <c r="L15" s="1" t="s">
        <v>23</v>
      </c>
    </row>
    <row r="16" spans="1:12" x14ac:dyDescent="0.3">
      <c r="A16" s="1" t="s">
        <v>55</v>
      </c>
      <c r="B16" s="2">
        <v>45651</v>
      </c>
      <c r="C16" s="1" t="s">
        <v>13</v>
      </c>
      <c r="D16" s="1" t="s">
        <v>21</v>
      </c>
      <c r="E16" s="1" t="s">
        <v>31</v>
      </c>
      <c r="F16" s="1" t="s">
        <v>16</v>
      </c>
      <c r="G16">
        <v>4</v>
      </c>
      <c r="H16">
        <v>12000</v>
      </c>
      <c r="I16">
        <v>48000</v>
      </c>
      <c r="J16" s="1" t="s">
        <v>28</v>
      </c>
      <c r="K16">
        <v>12</v>
      </c>
      <c r="L16" s="1" t="s">
        <v>49</v>
      </c>
    </row>
    <row r="17" spans="1:12" x14ac:dyDescent="0.3">
      <c r="A17" s="1" t="s">
        <v>56</v>
      </c>
      <c r="B17" s="2">
        <v>45375</v>
      </c>
      <c r="C17" s="1" t="s">
        <v>51</v>
      </c>
      <c r="D17" s="1" t="s">
        <v>25</v>
      </c>
      <c r="E17" s="1" t="s">
        <v>57</v>
      </c>
      <c r="F17" s="1" t="s">
        <v>58</v>
      </c>
      <c r="G17">
        <v>9</v>
      </c>
      <c r="H17">
        <v>65000</v>
      </c>
      <c r="I17">
        <v>585000</v>
      </c>
      <c r="J17" s="1" t="s">
        <v>54</v>
      </c>
      <c r="K17">
        <v>3</v>
      </c>
      <c r="L17" s="1" t="s">
        <v>23</v>
      </c>
    </row>
    <row r="18" spans="1:12" x14ac:dyDescent="0.3">
      <c r="A18" s="1" t="s">
        <v>59</v>
      </c>
      <c r="B18" s="2">
        <v>45404</v>
      </c>
      <c r="C18" s="1" t="s">
        <v>37</v>
      </c>
      <c r="D18" s="1" t="s">
        <v>14</v>
      </c>
      <c r="E18" s="1" t="s">
        <v>34</v>
      </c>
      <c r="F18" s="1" t="s">
        <v>27</v>
      </c>
      <c r="G18">
        <v>1</v>
      </c>
      <c r="H18">
        <v>85000</v>
      </c>
      <c r="I18">
        <v>85000</v>
      </c>
      <c r="J18" s="1" t="s">
        <v>60</v>
      </c>
      <c r="K18">
        <v>4</v>
      </c>
      <c r="L18" s="1" t="s">
        <v>39</v>
      </c>
    </row>
    <row r="19" spans="1:12" x14ac:dyDescent="0.3">
      <c r="A19" s="1" t="s">
        <v>61</v>
      </c>
      <c r="B19" s="2">
        <v>45453</v>
      </c>
      <c r="C19" s="1" t="s">
        <v>51</v>
      </c>
      <c r="D19" s="1" t="s">
        <v>48</v>
      </c>
      <c r="E19" s="1" t="s">
        <v>26</v>
      </c>
      <c r="F19" s="1" t="s">
        <v>27</v>
      </c>
      <c r="G19">
        <v>4</v>
      </c>
      <c r="H19">
        <v>185000</v>
      </c>
      <c r="I19">
        <v>740000</v>
      </c>
      <c r="J19" s="1" t="s">
        <v>41</v>
      </c>
      <c r="K19">
        <v>6</v>
      </c>
      <c r="L19" s="1" t="s">
        <v>39</v>
      </c>
    </row>
    <row r="20" spans="1:12" x14ac:dyDescent="0.3">
      <c r="A20" s="1" t="s">
        <v>62</v>
      </c>
      <c r="B20" s="2">
        <v>45582</v>
      </c>
      <c r="C20" s="1" t="s">
        <v>37</v>
      </c>
      <c r="D20" s="1" t="s">
        <v>21</v>
      </c>
      <c r="E20" s="1" t="s">
        <v>15</v>
      </c>
      <c r="F20" s="1" t="s">
        <v>16</v>
      </c>
      <c r="G20">
        <v>8</v>
      </c>
      <c r="H20">
        <v>45000</v>
      </c>
      <c r="I20">
        <v>360000</v>
      </c>
      <c r="J20" s="1" t="s">
        <v>38</v>
      </c>
      <c r="K20">
        <v>10</v>
      </c>
      <c r="L20" s="1" t="s">
        <v>29</v>
      </c>
    </row>
    <row r="21" spans="1:12" x14ac:dyDescent="0.3">
      <c r="A21" s="1" t="s">
        <v>63</v>
      </c>
      <c r="B21" s="2">
        <v>45494</v>
      </c>
      <c r="C21" s="1" t="s">
        <v>51</v>
      </c>
      <c r="D21" s="1" t="s">
        <v>21</v>
      </c>
      <c r="E21" s="1" t="s">
        <v>57</v>
      </c>
      <c r="F21" s="1" t="s">
        <v>58</v>
      </c>
      <c r="G21">
        <v>3</v>
      </c>
      <c r="H21">
        <v>65000</v>
      </c>
      <c r="I21">
        <v>195000</v>
      </c>
      <c r="J21" s="1" t="s">
        <v>64</v>
      </c>
      <c r="K21">
        <v>7</v>
      </c>
      <c r="L21" s="1" t="s">
        <v>23</v>
      </c>
    </row>
    <row r="22" spans="1:12" x14ac:dyDescent="0.3">
      <c r="A22" s="1" t="s">
        <v>65</v>
      </c>
      <c r="B22" s="2">
        <v>45418</v>
      </c>
      <c r="C22" s="1" t="s">
        <v>37</v>
      </c>
      <c r="D22" s="1" t="s">
        <v>25</v>
      </c>
      <c r="E22" s="1" t="s">
        <v>31</v>
      </c>
      <c r="F22" s="1" t="s">
        <v>16</v>
      </c>
      <c r="G22">
        <v>7</v>
      </c>
      <c r="H22">
        <v>12000</v>
      </c>
      <c r="I22">
        <v>84000</v>
      </c>
      <c r="J22" s="1" t="s">
        <v>22</v>
      </c>
      <c r="K22">
        <v>5</v>
      </c>
      <c r="L22" s="1" t="s">
        <v>39</v>
      </c>
    </row>
    <row r="23" spans="1:12" x14ac:dyDescent="0.3">
      <c r="A23" s="1" t="s">
        <v>66</v>
      </c>
      <c r="B23" s="2">
        <v>45477</v>
      </c>
      <c r="C23" s="1" t="s">
        <v>20</v>
      </c>
      <c r="D23" s="1" t="s">
        <v>21</v>
      </c>
      <c r="E23" s="1" t="s">
        <v>31</v>
      </c>
      <c r="F23" s="1" t="s">
        <v>16</v>
      </c>
      <c r="G23">
        <v>8</v>
      </c>
      <c r="H23">
        <v>12000</v>
      </c>
      <c r="I23">
        <v>96000</v>
      </c>
      <c r="J23" s="1" t="s">
        <v>64</v>
      </c>
      <c r="K23">
        <v>7</v>
      </c>
      <c r="L23" s="1" t="s">
        <v>29</v>
      </c>
    </row>
    <row r="24" spans="1:12" x14ac:dyDescent="0.3">
      <c r="A24" s="1" t="s">
        <v>67</v>
      </c>
      <c r="B24" s="2">
        <v>45338</v>
      </c>
      <c r="C24" s="1" t="s">
        <v>13</v>
      </c>
      <c r="D24" s="1" t="s">
        <v>14</v>
      </c>
      <c r="E24" s="1" t="s">
        <v>34</v>
      </c>
      <c r="F24" s="1" t="s">
        <v>27</v>
      </c>
      <c r="G24">
        <v>3</v>
      </c>
      <c r="H24">
        <v>85000</v>
      </c>
      <c r="I24">
        <v>255000</v>
      </c>
      <c r="J24" s="1" t="s">
        <v>32</v>
      </c>
      <c r="K24">
        <v>2</v>
      </c>
      <c r="L24" s="1" t="s">
        <v>68</v>
      </c>
    </row>
    <row r="25" spans="1:12" x14ac:dyDescent="0.3">
      <c r="A25" s="1" t="s">
        <v>69</v>
      </c>
      <c r="B25" s="2">
        <v>45640</v>
      </c>
      <c r="C25" s="1" t="s">
        <v>51</v>
      </c>
      <c r="D25" s="1" t="s">
        <v>14</v>
      </c>
      <c r="E25" s="1" t="s">
        <v>52</v>
      </c>
      <c r="F25" s="1" t="s">
        <v>27</v>
      </c>
      <c r="G25">
        <v>7</v>
      </c>
      <c r="H25">
        <v>125000</v>
      </c>
      <c r="I25">
        <v>875000</v>
      </c>
      <c r="J25" s="1" t="s">
        <v>28</v>
      </c>
      <c r="K25">
        <v>12</v>
      </c>
      <c r="L25" s="1" t="s">
        <v>18</v>
      </c>
    </row>
    <row r="26" spans="1:12" x14ac:dyDescent="0.3">
      <c r="A26" s="1" t="s">
        <v>70</v>
      </c>
      <c r="B26" s="2">
        <v>45597</v>
      </c>
      <c r="C26" s="1" t="s">
        <v>51</v>
      </c>
      <c r="D26" s="1" t="s">
        <v>48</v>
      </c>
      <c r="E26" s="1" t="s">
        <v>31</v>
      </c>
      <c r="F26" s="1" t="s">
        <v>16</v>
      </c>
      <c r="G26">
        <v>1</v>
      </c>
      <c r="H26">
        <v>12000</v>
      </c>
      <c r="I26">
        <v>12000</v>
      </c>
      <c r="J26" s="1" t="s">
        <v>17</v>
      </c>
      <c r="K26">
        <v>11</v>
      </c>
      <c r="L26" s="1" t="s">
        <v>68</v>
      </c>
    </row>
    <row r="27" spans="1:12" x14ac:dyDescent="0.3">
      <c r="A27" s="1" t="s">
        <v>71</v>
      </c>
      <c r="B27" s="2">
        <v>45640</v>
      </c>
      <c r="C27" s="1" t="s">
        <v>13</v>
      </c>
      <c r="D27" s="1" t="s">
        <v>48</v>
      </c>
      <c r="E27" s="1" t="s">
        <v>15</v>
      </c>
      <c r="F27" s="1" t="s">
        <v>16</v>
      </c>
      <c r="G27">
        <v>6</v>
      </c>
      <c r="H27">
        <v>45000</v>
      </c>
      <c r="I27">
        <v>270000</v>
      </c>
      <c r="J27" s="1" t="s">
        <v>28</v>
      </c>
      <c r="K27">
        <v>12</v>
      </c>
      <c r="L27" s="1" t="s">
        <v>18</v>
      </c>
    </row>
    <row r="28" spans="1:12" x14ac:dyDescent="0.3">
      <c r="A28" s="1" t="s">
        <v>72</v>
      </c>
      <c r="B28" s="2">
        <v>45349</v>
      </c>
      <c r="C28" s="1" t="s">
        <v>37</v>
      </c>
      <c r="D28" s="1" t="s">
        <v>25</v>
      </c>
      <c r="E28" s="1" t="s">
        <v>34</v>
      </c>
      <c r="F28" s="1" t="s">
        <v>27</v>
      </c>
      <c r="G28">
        <v>8</v>
      </c>
      <c r="H28">
        <v>85000</v>
      </c>
      <c r="I28">
        <v>680000</v>
      </c>
      <c r="J28" s="1" t="s">
        <v>32</v>
      </c>
      <c r="K28">
        <v>2</v>
      </c>
      <c r="L28" s="1" t="s">
        <v>44</v>
      </c>
    </row>
    <row r="29" spans="1:12" x14ac:dyDescent="0.3">
      <c r="A29" s="1" t="s">
        <v>73</v>
      </c>
      <c r="B29" s="2">
        <v>45293</v>
      </c>
      <c r="C29" s="1" t="s">
        <v>37</v>
      </c>
      <c r="D29" s="1" t="s">
        <v>21</v>
      </c>
      <c r="E29" s="1" t="s">
        <v>31</v>
      </c>
      <c r="F29" s="1" t="s">
        <v>16</v>
      </c>
      <c r="G29">
        <v>2</v>
      </c>
      <c r="H29">
        <v>12000</v>
      </c>
      <c r="I29">
        <v>24000</v>
      </c>
      <c r="J29" s="1" t="s">
        <v>35</v>
      </c>
      <c r="K29">
        <v>1</v>
      </c>
      <c r="L29" s="1" t="s">
        <v>44</v>
      </c>
    </row>
    <row r="30" spans="1:12" x14ac:dyDescent="0.3">
      <c r="A30" s="1" t="s">
        <v>74</v>
      </c>
      <c r="B30" s="2">
        <v>45612</v>
      </c>
      <c r="C30" s="1" t="s">
        <v>37</v>
      </c>
      <c r="D30" s="1" t="s">
        <v>21</v>
      </c>
      <c r="E30" s="1" t="s">
        <v>34</v>
      </c>
      <c r="F30" s="1" t="s">
        <v>27</v>
      </c>
      <c r="G30">
        <v>6</v>
      </c>
      <c r="H30">
        <v>85000</v>
      </c>
      <c r="I30">
        <v>510000</v>
      </c>
      <c r="J30" s="1" t="s">
        <v>17</v>
      </c>
      <c r="K30">
        <v>11</v>
      </c>
      <c r="L30" s="1" t="s">
        <v>18</v>
      </c>
    </row>
    <row r="31" spans="1:12" x14ac:dyDescent="0.3">
      <c r="A31" s="1" t="s">
        <v>75</v>
      </c>
      <c r="B31" s="2">
        <v>45374</v>
      </c>
      <c r="C31" s="1" t="s">
        <v>13</v>
      </c>
      <c r="D31" s="1" t="s">
        <v>48</v>
      </c>
      <c r="E31" s="1" t="s">
        <v>52</v>
      </c>
      <c r="F31" s="1" t="s">
        <v>27</v>
      </c>
      <c r="G31">
        <v>1</v>
      </c>
      <c r="H31">
        <v>125000</v>
      </c>
      <c r="I31">
        <v>125000</v>
      </c>
      <c r="J31" s="1" t="s">
        <v>54</v>
      </c>
      <c r="K31">
        <v>3</v>
      </c>
      <c r="L31" s="1" t="s">
        <v>18</v>
      </c>
    </row>
    <row r="32" spans="1:12" x14ac:dyDescent="0.3">
      <c r="A32" s="1" t="s">
        <v>76</v>
      </c>
      <c r="B32" s="2">
        <v>45349</v>
      </c>
      <c r="C32" s="1" t="s">
        <v>37</v>
      </c>
      <c r="D32" s="1" t="s">
        <v>48</v>
      </c>
      <c r="E32" s="1" t="s">
        <v>34</v>
      </c>
      <c r="F32" s="1" t="s">
        <v>27</v>
      </c>
      <c r="G32">
        <v>1</v>
      </c>
      <c r="H32">
        <v>85000</v>
      </c>
      <c r="I32">
        <v>85000</v>
      </c>
      <c r="J32" s="1" t="s">
        <v>32</v>
      </c>
      <c r="K32">
        <v>2</v>
      </c>
      <c r="L32" s="1" t="s">
        <v>44</v>
      </c>
    </row>
    <row r="33" spans="1:12" x14ac:dyDescent="0.3">
      <c r="A33" s="1" t="s">
        <v>77</v>
      </c>
      <c r="B33" s="2">
        <v>45415</v>
      </c>
      <c r="C33" s="1" t="s">
        <v>13</v>
      </c>
      <c r="D33" s="1" t="s">
        <v>14</v>
      </c>
      <c r="E33" s="1" t="s">
        <v>15</v>
      </c>
      <c r="F33" s="1" t="s">
        <v>16</v>
      </c>
      <c r="G33">
        <v>8</v>
      </c>
      <c r="H33">
        <v>45000</v>
      </c>
      <c r="I33">
        <v>360000</v>
      </c>
      <c r="J33" s="1" t="s">
        <v>22</v>
      </c>
      <c r="K33">
        <v>5</v>
      </c>
      <c r="L33" s="1" t="s">
        <v>68</v>
      </c>
    </row>
    <row r="34" spans="1:12" x14ac:dyDescent="0.3">
      <c r="A34" s="1" t="s">
        <v>78</v>
      </c>
      <c r="B34" s="2">
        <v>45327</v>
      </c>
      <c r="C34" s="1" t="s">
        <v>20</v>
      </c>
      <c r="D34" s="1" t="s">
        <v>21</v>
      </c>
      <c r="E34" s="1" t="s">
        <v>15</v>
      </c>
      <c r="F34" s="1" t="s">
        <v>16</v>
      </c>
      <c r="G34">
        <v>8</v>
      </c>
      <c r="H34">
        <v>45000</v>
      </c>
      <c r="I34">
        <v>360000</v>
      </c>
      <c r="J34" s="1" t="s">
        <v>32</v>
      </c>
      <c r="K34">
        <v>2</v>
      </c>
      <c r="L34" s="1" t="s">
        <v>39</v>
      </c>
    </row>
    <row r="35" spans="1:12" x14ac:dyDescent="0.3">
      <c r="A35" s="1" t="s">
        <v>79</v>
      </c>
      <c r="B35" s="2">
        <v>45573</v>
      </c>
      <c r="C35" s="1" t="s">
        <v>20</v>
      </c>
      <c r="D35" s="1" t="s">
        <v>48</v>
      </c>
      <c r="E35" s="1" t="s">
        <v>31</v>
      </c>
      <c r="F35" s="1" t="s">
        <v>16</v>
      </c>
      <c r="G35">
        <v>10</v>
      </c>
      <c r="H35">
        <v>12000</v>
      </c>
      <c r="I35">
        <v>120000</v>
      </c>
      <c r="J35" s="1" t="s">
        <v>38</v>
      </c>
      <c r="K35">
        <v>10</v>
      </c>
      <c r="L35" s="1" t="s">
        <v>44</v>
      </c>
    </row>
    <row r="36" spans="1:12" x14ac:dyDescent="0.3">
      <c r="A36" s="1" t="s">
        <v>80</v>
      </c>
      <c r="B36" s="2">
        <v>45508</v>
      </c>
      <c r="C36" s="1" t="s">
        <v>20</v>
      </c>
      <c r="D36" s="1" t="s">
        <v>21</v>
      </c>
      <c r="E36" s="1" t="s">
        <v>15</v>
      </c>
      <c r="F36" s="1" t="s">
        <v>16</v>
      </c>
      <c r="G36">
        <v>5</v>
      </c>
      <c r="H36">
        <v>45000</v>
      </c>
      <c r="I36">
        <v>225000</v>
      </c>
      <c r="J36" s="1" t="s">
        <v>81</v>
      </c>
      <c r="K36">
        <v>8</v>
      </c>
      <c r="L36" s="1" t="s">
        <v>23</v>
      </c>
    </row>
    <row r="37" spans="1:12" x14ac:dyDescent="0.3">
      <c r="A37" s="1" t="s">
        <v>82</v>
      </c>
      <c r="B37" s="2">
        <v>45496</v>
      </c>
      <c r="C37" s="1" t="s">
        <v>37</v>
      </c>
      <c r="D37" s="1" t="s">
        <v>25</v>
      </c>
      <c r="E37" s="1" t="s">
        <v>31</v>
      </c>
      <c r="F37" s="1" t="s">
        <v>16</v>
      </c>
      <c r="G37">
        <v>8</v>
      </c>
      <c r="H37">
        <v>12000</v>
      </c>
      <c r="I37">
        <v>96000</v>
      </c>
      <c r="J37" s="1" t="s">
        <v>64</v>
      </c>
      <c r="K37">
        <v>7</v>
      </c>
      <c r="L37" s="1" t="s">
        <v>44</v>
      </c>
    </row>
    <row r="38" spans="1:12" x14ac:dyDescent="0.3">
      <c r="A38" s="1" t="s">
        <v>83</v>
      </c>
      <c r="B38" s="2">
        <v>45353</v>
      </c>
      <c r="C38" s="1" t="s">
        <v>20</v>
      </c>
      <c r="D38" s="1" t="s">
        <v>21</v>
      </c>
      <c r="E38" s="1" t="s">
        <v>26</v>
      </c>
      <c r="F38" s="1" t="s">
        <v>27</v>
      </c>
      <c r="G38">
        <v>6</v>
      </c>
      <c r="H38">
        <v>185000</v>
      </c>
      <c r="I38">
        <v>1110000</v>
      </c>
      <c r="J38" s="1" t="s">
        <v>54</v>
      </c>
      <c r="K38">
        <v>3</v>
      </c>
      <c r="L38" s="1" t="s">
        <v>18</v>
      </c>
    </row>
    <row r="39" spans="1:12" x14ac:dyDescent="0.3">
      <c r="A39" s="1" t="s">
        <v>84</v>
      </c>
      <c r="B39" s="2">
        <v>45302</v>
      </c>
      <c r="C39" s="1" t="s">
        <v>20</v>
      </c>
      <c r="D39" s="1" t="s">
        <v>21</v>
      </c>
      <c r="E39" s="1" t="s">
        <v>26</v>
      </c>
      <c r="F39" s="1" t="s">
        <v>27</v>
      </c>
      <c r="G39">
        <v>2</v>
      </c>
      <c r="H39">
        <v>185000</v>
      </c>
      <c r="I39">
        <v>370000</v>
      </c>
      <c r="J39" s="1" t="s">
        <v>35</v>
      </c>
      <c r="K39">
        <v>1</v>
      </c>
      <c r="L39" s="1" t="s">
        <v>29</v>
      </c>
    </row>
    <row r="40" spans="1:12" x14ac:dyDescent="0.3">
      <c r="A40" s="1" t="s">
        <v>85</v>
      </c>
      <c r="B40" s="2">
        <v>45654</v>
      </c>
      <c r="C40" s="1" t="s">
        <v>13</v>
      </c>
      <c r="D40" s="1" t="s">
        <v>21</v>
      </c>
      <c r="E40" s="1" t="s">
        <v>26</v>
      </c>
      <c r="F40" s="1" t="s">
        <v>27</v>
      </c>
      <c r="G40">
        <v>1</v>
      </c>
      <c r="H40">
        <v>185000</v>
      </c>
      <c r="I40">
        <v>185000</v>
      </c>
      <c r="J40" s="1" t="s">
        <v>28</v>
      </c>
      <c r="K40">
        <v>12</v>
      </c>
      <c r="L40" s="1" t="s">
        <v>18</v>
      </c>
    </row>
    <row r="41" spans="1:12" x14ac:dyDescent="0.3">
      <c r="A41" s="1" t="s">
        <v>86</v>
      </c>
      <c r="B41" s="2">
        <v>45461</v>
      </c>
      <c r="C41" s="1" t="s">
        <v>13</v>
      </c>
      <c r="D41" s="1" t="s">
        <v>21</v>
      </c>
      <c r="E41" s="1" t="s">
        <v>57</v>
      </c>
      <c r="F41" s="1" t="s">
        <v>58</v>
      </c>
      <c r="G41">
        <v>8</v>
      </c>
      <c r="H41">
        <v>65000</v>
      </c>
      <c r="I41">
        <v>520000</v>
      </c>
      <c r="J41" s="1" t="s">
        <v>41</v>
      </c>
      <c r="K41">
        <v>6</v>
      </c>
      <c r="L41" s="1" t="s">
        <v>44</v>
      </c>
    </row>
    <row r="42" spans="1:12" x14ac:dyDescent="0.3">
      <c r="A42" s="1" t="s">
        <v>87</v>
      </c>
      <c r="B42" s="2">
        <v>45401</v>
      </c>
      <c r="C42" s="1" t="s">
        <v>20</v>
      </c>
      <c r="D42" s="1" t="s">
        <v>25</v>
      </c>
      <c r="E42" s="1" t="s">
        <v>34</v>
      </c>
      <c r="F42" s="1" t="s">
        <v>27</v>
      </c>
      <c r="G42">
        <v>8</v>
      </c>
      <c r="H42">
        <v>85000</v>
      </c>
      <c r="I42">
        <v>680000</v>
      </c>
      <c r="J42" s="1" t="s">
        <v>60</v>
      </c>
      <c r="K42">
        <v>4</v>
      </c>
      <c r="L42" s="1" t="s">
        <v>68</v>
      </c>
    </row>
    <row r="43" spans="1:12" x14ac:dyDescent="0.3">
      <c r="A43" s="1" t="s">
        <v>88</v>
      </c>
      <c r="B43" s="2">
        <v>45500</v>
      </c>
      <c r="C43" s="1" t="s">
        <v>20</v>
      </c>
      <c r="D43" s="1" t="s">
        <v>14</v>
      </c>
      <c r="E43" s="1" t="s">
        <v>26</v>
      </c>
      <c r="F43" s="1" t="s">
        <v>27</v>
      </c>
      <c r="G43">
        <v>7</v>
      </c>
      <c r="H43">
        <v>185000</v>
      </c>
      <c r="I43">
        <v>1295000</v>
      </c>
      <c r="J43" s="1" t="s">
        <v>64</v>
      </c>
      <c r="K43">
        <v>7</v>
      </c>
      <c r="L43" s="1" t="s">
        <v>18</v>
      </c>
    </row>
    <row r="44" spans="1:12" x14ac:dyDescent="0.3">
      <c r="A44" s="1" t="s">
        <v>89</v>
      </c>
      <c r="B44" s="2">
        <v>45473</v>
      </c>
      <c r="C44" s="1" t="s">
        <v>51</v>
      </c>
      <c r="D44" s="1" t="s">
        <v>25</v>
      </c>
      <c r="E44" s="1" t="s">
        <v>52</v>
      </c>
      <c r="F44" s="1" t="s">
        <v>27</v>
      </c>
      <c r="G44">
        <v>1</v>
      </c>
      <c r="H44">
        <v>125000</v>
      </c>
      <c r="I44">
        <v>125000</v>
      </c>
      <c r="J44" s="1" t="s">
        <v>41</v>
      </c>
      <c r="K44">
        <v>6</v>
      </c>
      <c r="L44" s="1" t="s">
        <v>23</v>
      </c>
    </row>
    <row r="45" spans="1:12" x14ac:dyDescent="0.3">
      <c r="A45" s="1" t="s">
        <v>90</v>
      </c>
      <c r="B45" s="2">
        <v>45636</v>
      </c>
      <c r="C45" s="1" t="s">
        <v>13</v>
      </c>
      <c r="D45" s="1" t="s">
        <v>14</v>
      </c>
      <c r="E45" s="1" t="s">
        <v>52</v>
      </c>
      <c r="F45" s="1" t="s">
        <v>27</v>
      </c>
      <c r="G45">
        <v>6</v>
      </c>
      <c r="H45">
        <v>125000</v>
      </c>
      <c r="I45">
        <v>750000</v>
      </c>
      <c r="J45" s="1" t="s">
        <v>28</v>
      </c>
      <c r="K45">
        <v>12</v>
      </c>
      <c r="L45" s="1" t="s">
        <v>44</v>
      </c>
    </row>
    <row r="46" spans="1:12" x14ac:dyDescent="0.3">
      <c r="A46" s="1" t="s">
        <v>91</v>
      </c>
      <c r="B46" s="2">
        <v>45347</v>
      </c>
      <c r="C46" s="1" t="s">
        <v>20</v>
      </c>
      <c r="D46" s="1" t="s">
        <v>21</v>
      </c>
      <c r="E46" s="1" t="s">
        <v>34</v>
      </c>
      <c r="F46" s="1" t="s">
        <v>27</v>
      </c>
      <c r="G46">
        <v>9</v>
      </c>
      <c r="H46">
        <v>85000</v>
      </c>
      <c r="I46">
        <v>765000</v>
      </c>
      <c r="J46" s="1" t="s">
        <v>32</v>
      </c>
      <c r="K46">
        <v>2</v>
      </c>
      <c r="L46" s="1" t="s">
        <v>23</v>
      </c>
    </row>
    <row r="47" spans="1:12" x14ac:dyDescent="0.3">
      <c r="A47" s="1" t="s">
        <v>92</v>
      </c>
      <c r="B47" s="2">
        <v>45521</v>
      </c>
      <c r="C47" s="1" t="s">
        <v>20</v>
      </c>
      <c r="D47" s="1" t="s">
        <v>25</v>
      </c>
      <c r="E47" s="1" t="s">
        <v>34</v>
      </c>
      <c r="F47" s="1" t="s">
        <v>27</v>
      </c>
      <c r="G47">
        <v>5</v>
      </c>
      <c r="H47">
        <v>85000</v>
      </c>
      <c r="I47">
        <v>425000</v>
      </c>
      <c r="J47" s="1" t="s">
        <v>81</v>
      </c>
      <c r="K47">
        <v>8</v>
      </c>
      <c r="L47" s="1" t="s">
        <v>18</v>
      </c>
    </row>
    <row r="48" spans="1:12" x14ac:dyDescent="0.3">
      <c r="A48" s="1" t="s">
        <v>93</v>
      </c>
      <c r="B48" s="2">
        <v>45528</v>
      </c>
      <c r="C48" s="1" t="s">
        <v>20</v>
      </c>
      <c r="D48" s="1" t="s">
        <v>14</v>
      </c>
      <c r="E48" s="1" t="s">
        <v>52</v>
      </c>
      <c r="F48" s="1" t="s">
        <v>27</v>
      </c>
      <c r="G48">
        <v>9</v>
      </c>
      <c r="H48">
        <v>125000</v>
      </c>
      <c r="I48">
        <v>1125000</v>
      </c>
      <c r="J48" s="1" t="s">
        <v>81</v>
      </c>
      <c r="K48">
        <v>8</v>
      </c>
      <c r="L48" s="1" t="s">
        <v>18</v>
      </c>
    </row>
    <row r="49" spans="1:12" x14ac:dyDescent="0.3">
      <c r="A49" s="1" t="s">
        <v>94</v>
      </c>
      <c r="B49" s="2">
        <v>45342</v>
      </c>
      <c r="C49" s="1" t="s">
        <v>13</v>
      </c>
      <c r="D49" s="1" t="s">
        <v>14</v>
      </c>
      <c r="E49" s="1" t="s">
        <v>26</v>
      </c>
      <c r="F49" s="1" t="s">
        <v>27</v>
      </c>
      <c r="G49">
        <v>4</v>
      </c>
      <c r="H49">
        <v>185000</v>
      </c>
      <c r="I49">
        <v>740000</v>
      </c>
      <c r="J49" s="1" t="s">
        <v>32</v>
      </c>
      <c r="K49">
        <v>2</v>
      </c>
      <c r="L49" s="1" t="s">
        <v>44</v>
      </c>
    </row>
    <row r="50" spans="1:12" x14ac:dyDescent="0.3">
      <c r="A50" s="1" t="s">
        <v>95</v>
      </c>
      <c r="B50" s="2">
        <v>45377</v>
      </c>
      <c r="C50" s="1" t="s">
        <v>51</v>
      </c>
      <c r="D50" s="1" t="s">
        <v>25</v>
      </c>
      <c r="E50" s="1" t="s">
        <v>52</v>
      </c>
      <c r="F50" s="1" t="s">
        <v>27</v>
      </c>
      <c r="G50">
        <v>4</v>
      </c>
      <c r="H50">
        <v>125000</v>
      </c>
      <c r="I50">
        <v>500000</v>
      </c>
      <c r="J50" s="1" t="s">
        <v>54</v>
      </c>
      <c r="K50">
        <v>3</v>
      </c>
      <c r="L50" s="1" t="s">
        <v>44</v>
      </c>
    </row>
    <row r="51" spans="1:12" x14ac:dyDescent="0.3">
      <c r="A51" s="1" t="s">
        <v>96</v>
      </c>
      <c r="B51" s="2">
        <v>45497</v>
      </c>
      <c r="C51" s="1" t="s">
        <v>13</v>
      </c>
      <c r="D51" s="1" t="s">
        <v>21</v>
      </c>
      <c r="E51" s="1" t="s">
        <v>52</v>
      </c>
      <c r="F51" s="1" t="s">
        <v>27</v>
      </c>
      <c r="G51">
        <v>1</v>
      </c>
      <c r="H51">
        <v>125000</v>
      </c>
      <c r="I51">
        <v>125000</v>
      </c>
      <c r="J51" s="1" t="s">
        <v>64</v>
      </c>
      <c r="K51">
        <v>7</v>
      </c>
      <c r="L51" s="1" t="s">
        <v>49</v>
      </c>
    </row>
    <row r="52" spans="1:12" x14ac:dyDescent="0.3">
      <c r="A52" s="1" t="s">
        <v>97</v>
      </c>
      <c r="B52" s="2">
        <v>45491</v>
      </c>
      <c r="C52" s="1" t="s">
        <v>37</v>
      </c>
      <c r="D52" s="1" t="s">
        <v>25</v>
      </c>
      <c r="E52" s="1" t="s">
        <v>57</v>
      </c>
      <c r="F52" s="1" t="s">
        <v>58</v>
      </c>
      <c r="G52">
        <v>7</v>
      </c>
      <c r="H52">
        <v>65000</v>
      </c>
      <c r="I52">
        <v>455000</v>
      </c>
      <c r="J52" s="1" t="s">
        <v>64</v>
      </c>
      <c r="K52">
        <v>7</v>
      </c>
      <c r="L52" s="1" t="s">
        <v>29</v>
      </c>
    </row>
    <row r="53" spans="1:12" x14ac:dyDescent="0.3">
      <c r="A53" s="1" t="s">
        <v>98</v>
      </c>
      <c r="B53" s="2">
        <v>45648</v>
      </c>
      <c r="C53" s="1" t="s">
        <v>51</v>
      </c>
      <c r="D53" s="1" t="s">
        <v>21</v>
      </c>
      <c r="E53" s="1" t="s">
        <v>34</v>
      </c>
      <c r="F53" s="1" t="s">
        <v>27</v>
      </c>
      <c r="G53">
        <v>5</v>
      </c>
      <c r="H53">
        <v>85000</v>
      </c>
      <c r="I53">
        <v>425000</v>
      </c>
      <c r="J53" s="1" t="s">
        <v>28</v>
      </c>
      <c r="K53">
        <v>12</v>
      </c>
      <c r="L53" s="1" t="s">
        <v>23</v>
      </c>
    </row>
    <row r="54" spans="1:12" x14ac:dyDescent="0.3">
      <c r="A54" s="1" t="s">
        <v>99</v>
      </c>
      <c r="B54" s="2">
        <v>45403</v>
      </c>
      <c r="C54" s="1" t="s">
        <v>13</v>
      </c>
      <c r="D54" s="1" t="s">
        <v>14</v>
      </c>
      <c r="E54" s="1" t="s">
        <v>15</v>
      </c>
      <c r="F54" s="1" t="s">
        <v>16</v>
      </c>
      <c r="G54">
        <v>6</v>
      </c>
      <c r="H54">
        <v>45000</v>
      </c>
      <c r="I54">
        <v>270000</v>
      </c>
      <c r="J54" s="1" t="s">
        <v>60</v>
      </c>
      <c r="K54">
        <v>4</v>
      </c>
      <c r="L54" s="1" t="s">
        <v>23</v>
      </c>
    </row>
    <row r="55" spans="1:12" x14ac:dyDescent="0.3">
      <c r="A55" s="1" t="s">
        <v>100</v>
      </c>
      <c r="B55" s="2">
        <v>45321</v>
      </c>
      <c r="C55" s="1" t="s">
        <v>13</v>
      </c>
      <c r="D55" s="1" t="s">
        <v>25</v>
      </c>
      <c r="E55" s="1" t="s">
        <v>31</v>
      </c>
      <c r="F55" s="1" t="s">
        <v>16</v>
      </c>
      <c r="G55">
        <v>9</v>
      </c>
      <c r="H55">
        <v>12000</v>
      </c>
      <c r="I55">
        <v>108000</v>
      </c>
      <c r="J55" s="1" t="s">
        <v>35</v>
      </c>
      <c r="K55">
        <v>1</v>
      </c>
      <c r="L55" s="1" t="s">
        <v>44</v>
      </c>
    </row>
    <row r="56" spans="1:12" x14ac:dyDescent="0.3">
      <c r="A56" s="1" t="s">
        <v>101</v>
      </c>
      <c r="B56" s="2">
        <v>45372</v>
      </c>
      <c r="C56" s="1" t="s">
        <v>13</v>
      </c>
      <c r="D56" s="1" t="s">
        <v>14</v>
      </c>
      <c r="E56" s="1" t="s">
        <v>34</v>
      </c>
      <c r="F56" s="1" t="s">
        <v>27</v>
      </c>
      <c r="G56">
        <v>2</v>
      </c>
      <c r="H56">
        <v>85000</v>
      </c>
      <c r="I56">
        <v>170000</v>
      </c>
      <c r="J56" s="1" t="s">
        <v>54</v>
      </c>
      <c r="K56">
        <v>3</v>
      </c>
      <c r="L56" s="1" t="s">
        <v>29</v>
      </c>
    </row>
    <row r="57" spans="1:12" x14ac:dyDescent="0.3">
      <c r="A57" s="1" t="s">
        <v>102</v>
      </c>
      <c r="B57" s="2">
        <v>45596</v>
      </c>
      <c r="C57" s="1" t="s">
        <v>13</v>
      </c>
      <c r="D57" s="1" t="s">
        <v>21</v>
      </c>
      <c r="E57" s="1" t="s">
        <v>52</v>
      </c>
      <c r="F57" s="1" t="s">
        <v>27</v>
      </c>
      <c r="G57">
        <v>2</v>
      </c>
      <c r="H57">
        <v>125000</v>
      </c>
      <c r="I57">
        <v>250000</v>
      </c>
      <c r="J57" s="1" t="s">
        <v>38</v>
      </c>
      <c r="K57">
        <v>10</v>
      </c>
      <c r="L57" s="1" t="s">
        <v>29</v>
      </c>
    </row>
    <row r="58" spans="1:12" x14ac:dyDescent="0.3">
      <c r="A58" s="1" t="s">
        <v>103</v>
      </c>
      <c r="B58" s="2">
        <v>45583</v>
      </c>
      <c r="C58" s="1" t="s">
        <v>20</v>
      </c>
      <c r="D58" s="1" t="s">
        <v>14</v>
      </c>
      <c r="E58" s="1" t="s">
        <v>31</v>
      </c>
      <c r="F58" s="1" t="s">
        <v>16</v>
      </c>
      <c r="G58">
        <v>2</v>
      </c>
      <c r="H58">
        <v>12000</v>
      </c>
      <c r="I58">
        <v>24000</v>
      </c>
      <c r="J58" s="1" t="s">
        <v>38</v>
      </c>
      <c r="K58">
        <v>10</v>
      </c>
      <c r="L58" s="1" t="s">
        <v>68</v>
      </c>
    </row>
    <row r="59" spans="1:12" x14ac:dyDescent="0.3">
      <c r="A59" s="1" t="s">
        <v>104</v>
      </c>
      <c r="B59" s="2">
        <v>45506</v>
      </c>
      <c r="C59" s="1" t="s">
        <v>37</v>
      </c>
      <c r="D59" s="1" t="s">
        <v>48</v>
      </c>
      <c r="E59" s="1" t="s">
        <v>34</v>
      </c>
      <c r="F59" s="1" t="s">
        <v>27</v>
      </c>
      <c r="G59">
        <v>6</v>
      </c>
      <c r="H59">
        <v>85000</v>
      </c>
      <c r="I59">
        <v>510000</v>
      </c>
      <c r="J59" s="1" t="s">
        <v>81</v>
      </c>
      <c r="K59">
        <v>8</v>
      </c>
      <c r="L59" s="1" t="s">
        <v>68</v>
      </c>
    </row>
    <row r="60" spans="1:12" x14ac:dyDescent="0.3">
      <c r="A60" s="1" t="s">
        <v>105</v>
      </c>
      <c r="B60" s="2">
        <v>45414</v>
      </c>
      <c r="C60" s="1" t="s">
        <v>37</v>
      </c>
      <c r="D60" s="1" t="s">
        <v>25</v>
      </c>
      <c r="E60" s="1" t="s">
        <v>34</v>
      </c>
      <c r="F60" s="1" t="s">
        <v>27</v>
      </c>
      <c r="G60">
        <v>5</v>
      </c>
      <c r="H60">
        <v>85000</v>
      </c>
      <c r="I60">
        <v>425000</v>
      </c>
      <c r="J60" s="1" t="s">
        <v>22</v>
      </c>
      <c r="K60">
        <v>5</v>
      </c>
      <c r="L60" s="1" t="s">
        <v>29</v>
      </c>
    </row>
    <row r="61" spans="1:12" x14ac:dyDescent="0.3">
      <c r="A61" s="1" t="s">
        <v>106</v>
      </c>
      <c r="B61" s="2">
        <v>45526</v>
      </c>
      <c r="C61" s="1" t="s">
        <v>37</v>
      </c>
      <c r="D61" s="1" t="s">
        <v>14</v>
      </c>
      <c r="E61" s="1" t="s">
        <v>26</v>
      </c>
      <c r="F61" s="1" t="s">
        <v>27</v>
      </c>
      <c r="G61">
        <v>8</v>
      </c>
      <c r="H61">
        <v>185000</v>
      </c>
      <c r="I61">
        <v>1480000</v>
      </c>
      <c r="J61" s="1" t="s">
        <v>81</v>
      </c>
      <c r="K61">
        <v>8</v>
      </c>
      <c r="L61" s="1" t="s">
        <v>29</v>
      </c>
    </row>
    <row r="62" spans="1:12" x14ac:dyDescent="0.3">
      <c r="A62" s="1" t="s">
        <v>107</v>
      </c>
      <c r="B62" s="2">
        <v>45610</v>
      </c>
      <c r="C62" s="1" t="s">
        <v>13</v>
      </c>
      <c r="D62" s="1" t="s">
        <v>14</v>
      </c>
      <c r="E62" s="1" t="s">
        <v>31</v>
      </c>
      <c r="F62" s="1" t="s">
        <v>16</v>
      </c>
      <c r="G62">
        <v>4</v>
      </c>
      <c r="H62">
        <v>12000</v>
      </c>
      <c r="I62">
        <v>48000</v>
      </c>
      <c r="J62" s="1" t="s">
        <v>17</v>
      </c>
      <c r="K62">
        <v>11</v>
      </c>
      <c r="L62" s="1" t="s">
        <v>29</v>
      </c>
    </row>
    <row r="63" spans="1:12" x14ac:dyDescent="0.3">
      <c r="A63" s="1" t="s">
        <v>108</v>
      </c>
      <c r="B63" s="2">
        <v>45551</v>
      </c>
      <c r="C63" s="1" t="s">
        <v>37</v>
      </c>
      <c r="D63" s="1" t="s">
        <v>21</v>
      </c>
      <c r="E63" s="1" t="s">
        <v>57</v>
      </c>
      <c r="F63" s="1" t="s">
        <v>58</v>
      </c>
      <c r="G63">
        <v>2</v>
      </c>
      <c r="H63">
        <v>65000</v>
      </c>
      <c r="I63">
        <v>130000</v>
      </c>
      <c r="J63" s="1" t="s">
        <v>109</v>
      </c>
      <c r="K63">
        <v>9</v>
      </c>
      <c r="L63" s="1" t="s">
        <v>39</v>
      </c>
    </row>
    <row r="64" spans="1:12" x14ac:dyDescent="0.3">
      <c r="A64" s="1" t="s">
        <v>110</v>
      </c>
      <c r="B64" s="2">
        <v>45417</v>
      </c>
      <c r="C64" s="1" t="s">
        <v>37</v>
      </c>
      <c r="D64" s="1" t="s">
        <v>48</v>
      </c>
      <c r="E64" s="1" t="s">
        <v>34</v>
      </c>
      <c r="F64" s="1" t="s">
        <v>27</v>
      </c>
      <c r="G64">
        <v>8</v>
      </c>
      <c r="H64">
        <v>85000</v>
      </c>
      <c r="I64">
        <v>680000</v>
      </c>
      <c r="J64" s="1" t="s">
        <v>22</v>
      </c>
      <c r="K64">
        <v>5</v>
      </c>
      <c r="L64" s="1" t="s">
        <v>23</v>
      </c>
    </row>
    <row r="65" spans="1:12" x14ac:dyDescent="0.3">
      <c r="A65" s="1" t="s">
        <v>111</v>
      </c>
      <c r="B65" s="2">
        <v>45570</v>
      </c>
      <c r="C65" s="1" t="s">
        <v>37</v>
      </c>
      <c r="D65" s="1" t="s">
        <v>14</v>
      </c>
      <c r="E65" s="1" t="s">
        <v>15</v>
      </c>
      <c r="F65" s="1" t="s">
        <v>16</v>
      </c>
      <c r="G65">
        <v>9</v>
      </c>
      <c r="H65">
        <v>45000</v>
      </c>
      <c r="I65">
        <v>405000</v>
      </c>
      <c r="J65" s="1" t="s">
        <v>38</v>
      </c>
      <c r="K65">
        <v>10</v>
      </c>
      <c r="L65" s="1" t="s">
        <v>18</v>
      </c>
    </row>
    <row r="66" spans="1:12" x14ac:dyDescent="0.3">
      <c r="A66" s="1" t="s">
        <v>112</v>
      </c>
      <c r="B66" s="2">
        <v>45445</v>
      </c>
      <c r="C66" s="1" t="s">
        <v>13</v>
      </c>
      <c r="D66" s="1" t="s">
        <v>21</v>
      </c>
      <c r="E66" s="1" t="s">
        <v>57</v>
      </c>
      <c r="F66" s="1" t="s">
        <v>58</v>
      </c>
      <c r="G66">
        <v>2</v>
      </c>
      <c r="H66">
        <v>65000</v>
      </c>
      <c r="I66">
        <v>130000</v>
      </c>
      <c r="J66" s="1" t="s">
        <v>41</v>
      </c>
      <c r="K66">
        <v>6</v>
      </c>
      <c r="L66" s="1" t="s">
        <v>23</v>
      </c>
    </row>
    <row r="67" spans="1:12" x14ac:dyDescent="0.3">
      <c r="A67" s="1" t="s">
        <v>113</v>
      </c>
      <c r="B67" s="2">
        <v>45346</v>
      </c>
      <c r="C67" s="1" t="s">
        <v>20</v>
      </c>
      <c r="D67" s="1" t="s">
        <v>48</v>
      </c>
      <c r="E67" s="1" t="s">
        <v>57</v>
      </c>
      <c r="F67" s="1" t="s">
        <v>58</v>
      </c>
      <c r="G67">
        <v>10</v>
      </c>
      <c r="H67">
        <v>65000</v>
      </c>
      <c r="I67">
        <v>650000</v>
      </c>
      <c r="J67" s="1" t="s">
        <v>32</v>
      </c>
      <c r="K67">
        <v>2</v>
      </c>
      <c r="L67" s="1" t="s">
        <v>18</v>
      </c>
    </row>
    <row r="68" spans="1:12" x14ac:dyDescent="0.3">
      <c r="A68" s="1" t="s">
        <v>114</v>
      </c>
      <c r="B68" s="2">
        <v>45399</v>
      </c>
      <c r="C68" s="1" t="s">
        <v>37</v>
      </c>
      <c r="D68" s="1" t="s">
        <v>21</v>
      </c>
      <c r="E68" s="1" t="s">
        <v>15</v>
      </c>
      <c r="F68" s="1" t="s">
        <v>16</v>
      </c>
      <c r="G68">
        <v>5</v>
      </c>
      <c r="H68">
        <v>45000</v>
      </c>
      <c r="I68">
        <v>225000</v>
      </c>
      <c r="J68" s="1" t="s">
        <v>60</v>
      </c>
      <c r="K68">
        <v>4</v>
      </c>
      <c r="L68" s="1" t="s">
        <v>49</v>
      </c>
    </row>
    <row r="69" spans="1:12" x14ac:dyDescent="0.3">
      <c r="A69" s="1" t="s">
        <v>115</v>
      </c>
      <c r="B69" s="2">
        <v>45550</v>
      </c>
      <c r="C69" s="1" t="s">
        <v>51</v>
      </c>
      <c r="D69" s="1" t="s">
        <v>48</v>
      </c>
      <c r="E69" s="1" t="s">
        <v>26</v>
      </c>
      <c r="F69" s="1" t="s">
        <v>27</v>
      </c>
      <c r="G69">
        <v>2</v>
      </c>
      <c r="H69">
        <v>185000</v>
      </c>
      <c r="I69">
        <v>370000</v>
      </c>
      <c r="J69" s="1" t="s">
        <v>109</v>
      </c>
      <c r="K69">
        <v>9</v>
      </c>
      <c r="L69" s="1" t="s">
        <v>23</v>
      </c>
    </row>
    <row r="70" spans="1:12" x14ac:dyDescent="0.3">
      <c r="A70" s="1" t="s">
        <v>116</v>
      </c>
      <c r="B70" s="2">
        <v>45616</v>
      </c>
      <c r="C70" s="1" t="s">
        <v>51</v>
      </c>
      <c r="D70" s="1" t="s">
        <v>48</v>
      </c>
      <c r="E70" s="1" t="s">
        <v>26</v>
      </c>
      <c r="F70" s="1" t="s">
        <v>27</v>
      </c>
      <c r="G70">
        <v>1</v>
      </c>
      <c r="H70">
        <v>185000</v>
      </c>
      <c r="I70">
        <v>185000</v>
      </c>
      <c r="J70" s="1" t="s">
        <v>17</v>
      </c>
      <c r="K70">
        <v>11</v>
      </c>
      <c r="L70" s="1" t="s">
        <v>49</v>
      </c>
    </row>
    <row r="71" spans="1:12" x14ac:dyDescent="0.3">
      <c r="A71" s="1" t="s">
        <v>117</v>
      </c>
      <c r="B71" s="2">
        <v>45462</v>
      </c>
      <c r="C71" s="1" t="s">
        <v>20</v>
      </c>
      <c r="D71" s="1" t="s">
        <v>48</v>
      </c>
      <c r="E71" s="1" t="s">
        <v>34</v>
      </c>
      <c r="F71" s="1" t="s">
        <v>27</v>
      </c>
      <c r="G71">
        <v>8</v>
      </c>
      <c r="H71">
        <v>85000</v>
      </c>
      <c r="I71">
        <v>680000</v>
      </c>
      <c r="J71" s="1" t="s">
        <v>41</v>
      </c>
      <c r="K71">
        <v>6</v>
      </c>
      <c r="L71" s="1" t="s">
        <v>49</v>
      </c>
    </row>
    <row r="72" spans="1:12" x14ac:dyDescent="0.3">
      <c r="A72" s="1" t="s">
        <v>118</v>
      </c>
      <c r="B72" s="2">
        <v>45574</v>
      </c>
      <c r="C72" s="1" t="s">
        <v>51</v>
      </c>
      <c r="D72" s="1" t="s">
        <v>14</v>
      </c>
      <c r="E72" s="1" t="s">
        <v>26</v>
      </c>
      <c r="F72" s="1" t="s">
        <v>27</v>
      </c>
      <c r="G72">
        <v>2</v>
      </c>
      <c r="H72">
        <v>185000</v>
      </c>
      <c r="I72">
        <v>370000</v>
      </c>
      <c r="J72" s="1" t="s">
        <v>38</v>
      </c>
      <c r="K72">
        <v>10</v>
      </c>
      <c r="L72" s="1" t="s">
        <v>49</v>
      </c>
    </row>
    <row r="73" spans="1:12" x14ac:dyDescent="0.3">
      <c r="A73" s="1" t="s">
        <v>119</v>
      </c>
      <c r="B73" s="2">
        <v>45645</v>
      </c>
      <c r="C73" s="1" t="s">
        <v>20</v>
      </c>
      <c r="D73" s="1" t="s">
        <v>14</v>
      </c>
      <c r="E73" s="1" t="s">
        <v>57</v>
      </c>
      <c r="F73" s="1" t="s">
        <v>58</v>
      </c>
      <c r="G73">
        <v>10</v>
      </c>
      <c r="H73">
        <v>65000</v>
      </c>
      <c r="I73">
        <v>650000</v>
      </c>
      <c r="J73" s="1" t="s">
        <v>28</v>
      </c>
      <c r="K73">
        <v>12</v>
      </c>
      <c r="L73" s="1" t="s">
        <v>29</v>
      </c>
    </row>
    <row r="74" spans="1:12" x14ac:dyDescent="0.3">
      <c r="A74" s="1" t="s">
        <v>120</v>
      </c>
      <c r="B74" s="2">
        <v>45574</v>
      </c>
      <c r="C74" s="1" t="s">
        <v>20</v>
      </c>
      <c r="D74" s="1" t="s">
        <v>25</v>
      </c>
      <c r="E74" s="1" t="s">
        <v>34</v>
      </c>
      <c r="F74" s="1" t="s">
        <v>27</v>
      </c>
      <c r="G74">
        <v>1</v>
      </c>
      <c r="H74">
        <v>85000</v>
      </c>
      <c r="I74">
        <v>85000</v>
      </c>
      <c r="J74" s="1" t="s">
        <v>38</v>
      </c>
      <c r="K74">
        <v>10</v>
      </c>
      <c r="L74" s="1" t="s">
        <v>49</v>
      </c>
    </row>
    <row r="75" spans="1:12" x14ac:dyDescent="0.3">
      <c r="A75" s="1" t="s">
        <v>121</v>
      </c>
      <c r="B75" s="2">
        <v>45449</v>
      </c>
      <c r="C75" s="1" t="s">
        <v>37</v>
      </c>
      <c r="D75" s="1" t="s">
        <v>14</v>
      </c>
      <c r="E75" s="1" t="s">
        <v>57</v>
      </c>
      <c r="F75" s="1" t="s">
        <v>58</v>
      </c>
      <c r="G75">
        <v>4</v>
      </c>
      <c r="H75">
        <v>65000</v>
      </c>
      <c r="I75">
        <v>260000</v>
      </c>
      <c r="J75" s="1" t="s">
        <v>41</v>
      </c>
      <c r="K75">
        <v>6</v>
      </c>
      <c r="L75" s="1" t="s">
        <v>29</v>
      </c>
    </row>
    <row r="76" spans="1:12" x14ac:dyDescent="0.3">
      <c r="A76" s="1" t="s">
        <v>122</v>
      </c>
      <c r="B76" s="2">
        <v>45641</v>
      </c>
      <c r="C76" s="1" t="s">
        <v>20</v>
      </c>
      <c r="D76" s="1" t="s">
        <v>14</v>
      </c>
      <c r="E76" s="1" t="s">
        <v>57</v>
      </c>
      <c r="F76" s="1" t="s">
        <v>58</v>
      </c>
      <c r="G76">
        <v>9</v>
      </c>
      <c r="H76">
        <v>65000</v>
      </c>
      <c r="I76">
        <v>585000</v>
      </c>
      <c r="J76" s="1" t="s">
        <v>28</v>
      </c>
      <c r="K76">
        <v>12</v>
      </c>
      <c r="L76" s="1" t="s">
        <v>23</v>
      </c>
    </row>
    <row r="77" spans="1:12" x14ac:dyDescent="0.3">
      <c r="A77" s="1" t="s">
        <v>123</v>
      </c>
      <c r="B77" s="2">
        <v>45500</v>
      </c>
      <c r="C77" s="1" t="s">
        <v>20</v>
      </c>
      <c r="D77" s="1" t="s">
        <v>21</v>
      </c>
      <c r="E77" s="1" t="s">
        <v>34</v>
      </c>
      <c r="F77" s="1" t="s">
        <v>27</v>
      </c>
      <c r="G77">
        <v>3</v>
      </c>
      <c r="H77">
        <v>85000</v>
      </c>
      <c r="I77">
        <v>255000</v>
      </c>
      <c r="J77" s="1" t="s">
        <v>64</v>
      </c>
      <c r="K77">
        <v>7</v>
      </c>
      <c r="L77" s="1" t="s">
        <v>18</v>
      </c>
    </row>
    <row r="78" spans="1:12" x14ac:dyDescent="0.3">
      <c r="A78" s="1" t="s">
        <v>124</v>
      </c>
      <c r="B78" s="2">
        <v>45503</v>
      </c>
      <c r="C78" s="1" t="s">
        <v>13</v>
      </c>
      <c r="D78" s="1" t="s">
        <v>21</v>
      </c>
      <c r="E78" s="1" t="s">
        <v>15</v>
      </c>
      <c r="F78" s="1" t="s">
        <v>16</v>
      </c>
      <c r="G78">
        <v>6</v>
      </c>
      <c r="H78">
        <v>45000</v>
      </c>
      <c r="I78">
        <v>270000</v>
      </c>
      <c r="J78" s="1" t="s">
        <v>64</v>
      </c>
      <c r="K78">
        <v>7</v>
      </c>
      <c r="L78" s="1" t="s">
        <v>44</v>
      </c>
    </row>
    <row r="79" spans="1:12" x14ac:dyDescent="0.3">
      <c r="A79" s="1" t="s">
        <v>125</v>
      </c>
      <c r="B79" s="2">
        <v>45502</v>
      </c>
      <c r="C79" s="1" t="s">
        <v>20</v>
      </c>
      <c r="D79" s="1" t="s">
        <v>48</v>
      </c>
      <c r="E79" s="1" t="s">
        <v>34</v>
      </c>
      <c r="F79" s="1" t="s">
        <v>27</v>
      </c>
      <c r="G79">
        <v>2</v>
      </c>
      <c r="H79">
        <v>85000</v>
      </c>
      <c r="I79">
        <v>170000</v>
      </c>
      <c r="J79" s="1" t="s">
        <v>64</v>
      </c>
      <c r="K79">
        <v>7</v>
      </c>
      <c r="L79" s="1" t="s">
        <v>39</v>
      </c>
    </row>
    <row r="80" spans="1:12" x14ac:dyDescent="0.3">
      <c r="A80" s="1" t="s">
        <v>126</v>
      </c>
      <c r="B80" s="2">
        <v>45487</v>
      </c>
      <c r="C80" s="1" t="s">
        <v>13</v>
      </c>
      <c r="D80" s="1" t="s">
        <v>25</v>
      </c>
      <c r="E80" s="1" t="s">
        <v>34</v>
      </c>
      <c r="F80" s="1" t="s">
        <v>27</v>
      </c>
      <c r="G80">
        <v>4</v>
      </c>
      <c r="H80">
        <v>85000</v>
      </c>
      <c r="I80">
        <v>340000</v>
      </c>
      <c r="J80" s="1" t="s">
        <v>64</v>
      </c>
      <c r="K80">
        <v>7</v>
      </c>
      <c r="L80" s="1" t="s">
        <v>23</v>
      </c>
    </row>
    <row r="81" spans="1:12" x14ac:dyDescent="0.3">
      <c r="A81" s="1" t="s">
        <v>127</v>
      </c>
      <c r="B81" s="2">
        <v>45527</v>
      </c>
      <c r="C81" s="1" t="s">
        <v>37</v>
      </c>
      <c r="D81" s="1" t="s">
        <v>48</v>
      </c>
      <c r="E81" s="1" t="s">
        <v>34</v>
      </c>
      <c r="F81" s="1" t="s">
        <v>27</v>
      </c>
      <c r="G81">
        <v>4</v>
      </c>
      <c r="H81">
        <v>85000</v>
      </c>
      <c r="I81">
        <v>340000</v>
      </c>
      <c r="J81" s="1" t="s">
        <v>81</v>
      </c>
      <c r="K81">
        <v>8</v>
      </c>
      <c r="L81" s="1" t="s">
        <v>68</v>
      </c>
    </row>
    <row r="82" spans="1:12" x14ac:dyDescent="0.3">
      <c r="A82" s="1" t="s">
        <v>128</v>
      </c>
      <c r="B82" s="2">
        <v>45304</v>
      </c>
      <c r="C82" s="1" t="s">
        <v>20</v>
      </c>
      <c r="D82" s="1" t="s">
        <v>25</v>
      </c>
      <c r="E82" s="1" t="s">
        <v>57</v>
      </c>
      <c r="F82" s="1" t="s">
        <v>58</v>
      </c>
      <c r="G82">
        <v>5</v>
      </c>
      <c r="H82">
        <v>65000</v>
      </c>
      <c r="I82">
        <v>325000</v>
      </c>
      <c r="J82" s="1" t="s">
        <v>35</v>
      </c>
      <c r="K82">
        <v>1</v>
      </c>
      <c r="L82" s="1" t="s">
        <v>18</v>
      </c>
    </row>
    <row r="83" spans="1:12" x14ac:dyDescent="0.3">
      <c r="A83" s="1" t="s">
        <v>129</v>
      </c>
      <c r="B83" s="2">
        <v>45327</v>
      </c>
      <c r="C83" s="1" t="s">
        <v>37</v>
      </c>
      <c r="D83" s="1" t="s">
        <v>48</v>
      </c>
      <c r="E83" s="1" t="s">
        <v>15</v>
      </c>
      <c r="F83" s="1" t="s">
        <v>16</v>
      </c>
      <c r="G83">
        <v>9</v>
      </c>
      <c r="H83">
        <v>45000</v>
      </c>
      <c r="I83">
        <v>405000</v>
      </c>
      <c r="J83" s="1" t="s">
        <v>32</v>
      </c>
      <c r="K83">
        <v>2</v>
      </c>
      <c r="L83" s="1" t="s">
        <v>39</v>
      </c>
    </row>
    <row r="84" spans="1:12" x14ac:dyDescent="0.3">
      <c r="A84" s="1" t="s">
        <v>130</v>
      </c>
      <c r="B84" s="2">
        <v>45496</v>
      </c>
      <c r="C84" s="1" t="s">
        <v>37</v>
      </c>
      <c r="D84" s="1" t="s">
        <v>14</v>
      </c>
      <c r="E84" s="1" t="s">
        <v>26</v>
      </c>
      <c r="F84" s="1" t="s">
        <v>27</v>
      </c>
      <c r="G84">
        <v>5</v>
      </c>
      <c r="H84">
        <v>185000</v>
      </c>
      <c r="I84">
        <v>925000</v>
      </c>
      <c r="J84" s="1" t="s">
        <v>64</v>
      </c>
      <c r="K84">
        <v>7</v>
      </c>
      <c r="L84" s="1" t="s">
        <v>44</v>
      </c>
    </row>
    <row r="85" spans="1:12" x14ac:dyDescent="0.3">
      <c r="A85" s="1" t="s">
        <v>131</v>
      </c>
      <c r="B85" s="2">
        <v>45383</v>
      </c>
      <c r="C85" s="1" t="s">
        <v>37</v>
      </c>
      <c r="D85" s="1" t="s">
        <v>14</v>
      </c>
      <c r="E85" s="1" t="s">
        <v>26</v>
      </c>
      <c r="F85" s="1" t="s">
        <v>27</v>
      </c>
      <c r="G85">
        <v>10</v>
      </c>
      <c r="H85">
        <v>185000</v>
      </c>
      <c r="I85">
        <v>1850000</v>
      </c>
      <c r="J85" s="1" t="s">
        <v>60</v>
      </c>
      <c r="K85">
        <v>4</v>
      </c>
      <c r="L85" s="1" t="s">
        <v>39</v>
      </c>
    </row>
    <row r="86" spans="1:12" x14ac:dyDescent="0.3">
      <c r="A86" s="1" t="s">
        <v>132</v>
      </c>
      <c r="B86" s="2">
        <v>45514</v>
      </c>
      <c r="C86" s="1" t="s">
        <v>37</v>
      </c>
      <c r="D86" s="1" t="s">
        <v>48</v>
      </c>
      <c r="E86" s="1" t="s">
        <v>52</v>
      </c>
      <c r="F86" s="1" t="s">
        <v>27</v>
      </c>
      <c r="G86">
        <v>10</v>
      </c>
      <c r="H86">
        <v>125000</v>
      </c>
      <c r="I86">
        <v>1250000</v>
      </c>
      <c r="J86" s="1" t="s">
        <v>81</v>
      </c>
      <c r="K86">
        <v>8</v>
      </c>
      <c r="L86" s="1" t="s">
        <v>18</v>
      </c>
    </row>
    <row r="87" spans="1:12" x14ac:dyDescent="0.3">
      <c r="A87" s="1" t="s">
        <v>133</v>
      </c>
      <c r="B87" s="2">
        <v>45553</v>
      </c>
      <c r="C87" s="1" t="s">
        <v>13</v>
      </c>
      <c r="D87" s="1" t="s">
        <v>25</v>
      </c>
      <c r="E87" s="1" t="s">
        <v>31</v>
      </c>
      <c r="F87" s="1" t="s">
        <v>16</v>
      </c>
      <c r="G87">
        <v>4</v>
      </c>
      <c r="H87">
        <v>12000</v>
      </c>
      <c r="I87">
        <v>48000</v>
      </c>
      <c r="J87" s="1" t="s">
        <v>109</v>
      </c>
      <c r="K87">
        <v>9</v>
      </c>
      <c r="L87" s="1" t="s">
        <v>49</v>
      </c>
    </row>
    <row r="88" spans="1:12" x14ac:dyDescent="0.3">
      <c r="A88" s="1" t="s">
        <v>134</v>
      </c>
      <c r="B88" s="2">
        <v>45422</v>
      </c>
      <c r="C88" s="1" t="s">
        <v>13</v>
      </c>
      <c r="D88" s="1" t="s">
        <v>25</v>
      </c>
      <c r="E88" s="1" t="s">
        <v>26</v>
      </c>
      <c r="F88" s="1" t="s">
        <v>27</v>
      </c>
      <c r="G88">
        <v>9</v>
      </c>
      <c r="H88">
        <v>185000</v>
      </c>
      <c r="I88">
        <v>1665000</v>
      </c>
      <c r="J88" s="1" t="s">
        <v>22</v>
      </c>
      <c r="K88">
        <v>5</v>
      </c>
      <c r="L88" s="1" t="s">
        <v>68</v>
      </c>
    </row>
    <row r="89" spans="1:12" x14ac:dyDescent="0.3">
      <c r="A89" s="1" t="s">
        <v>135</v>
      </c>
      <c r="B89" s="2">
        <v>45567</v>
      </c>
      <c r="C89" s="1" t="s">
        <v>20</v>
      </c>
      <c r="D89" s="1" t="s">
        <v>48</v>
      </c>
      <c r="E89" s="1" t="s">
        <v>52</v>
      </c>
      <c r="F89" s="1" t="s">
        <v>27</v>
      </c>
      <c r="G89">
        <v>2</v>
      </c>
      <c r="H89">
        <v>125000</v>
      </c>
      <c r="I89">
        <v>250000</v>
      </c>
      <c r="J89" s="1" t="s">
        <v>38</v>
      </c>
      <c r="K89">
        <v>10</v>
      </c>
      <c r="L89" s="1" t="s">
        <v>49</v>
      </c>
    </row>
    <row r="90" spans="1:12" x14ac:dyDescent="0.3">
      <c r="A90" s="1" t="s">
        <v>136</v>
      </c>
      <c r="B90" s="2">
        <v>45632</v>
      </c>
      <c r="C90" s="1" t="s">
        <v>37</v>
      </c>
      <c r="D90" s="1" t="s">
        <v>48</v>
      </c>
      <c r="E90" s="1" t="s">
        <v>15</v>
      </c>
      <c r="F90" s="1" t="s">
        <v>16</v>
      </c>
      <c r="G90">
        <v>2</v>
      </c>
      <c r="H90">
        <v>45000</v>
      </c>
      <c r="I90">
        <v>90000</v>
      </c>
      <c r="J90" s="1" t="s">
        <v>28</v>
      </c>
      <c r="K90">
        <v>12</v>
      </c>
      <c r="L90" s="1" t="s">
        <v>68</v>
      </c>
    </row>
    <row r="91" spans="1:12" x14ac:dyDescent="0.3">
      <c r="A91" s="1" t="s">
        <v>137</v>
      </c>
      <c r="B91" s="2">
        <v>45445</v>
      </c>
      <c r="C91" s="1" t="s">
        <v>37</v>
      </c>
      <c r="D91" s="1" t="s">
        <v>25</v>
      </c>
      <c r="E91" s="1" t="s">
        <v>57</v>
      </c>
      <c r="F91" s="1" t="s">
        <v>58</v>
      </c>
      <c r="G91">
        <v>7</v>
      </c>
      <c r="H91">
        <v>65000</v>
      </c>
      <c r="I91">
        <v>455000</v>
      </c>
      <c r="J91" s="1" t="s">
        <v>41</v>
      </c>
      <c r="K91">
        <v>6</v>
      </c>
      <c r="L91" s="1" t="s">
        <v>23</v>
      </c>
    </row>
    <row r="92" spans="1:12" x14ac:dyDescent="0.3">
      <c r="A92" s="1" t="s">
        <v>138</v>
      </c>
      <c r="B92" s="2">
        <v>45648</v>
      </c>
      <c r="C92" s="1" t="s">
        <v>37</v>
      </c>
      <c r="D92" s="1" t="s">
        <v>21</v>
      </c>
      <c r="E92" s="1" t="s">
        <v>34</v>
      </c>
      <c r="F92" s="1" t="s">
        <v>27</v>
      </c>
      <c r="G92">
        <v>7</v>
      </c>
      <c r="H92">
        <v>85000</v>
      </c>
      <c r="I92">
        <v>595000</v>
      </c>
      <c r="J92" s="1" t="s">
        <v>28</v>
      </c>
      <c r="K92">
        <v>12</v>
      </c>
      <c r="L92" s="1" t="s">
        <v>23</v>
      </c>
    </row>
    <row r="93" spans="1:12" x14ac:dyDescent="0.3">
      <c r="A93" s="1" t="s">
        <v>139</v>
      </c>
      <c r="B93" s="2">
        <v>45632</v>
      </c>
      <c r="C93" s="1" t="s">
        <v>51</v>
      </c>
      <c r="D93" s="1" t="s">
        <v>21</v>
      </c>
      <c r="E93" s="1" t="s">
        <v>31</v>
      </c>
      <c r="F93" s="1" t="s">
        <v>16</v>
      </c>
      <c r="G93">
        <v>10</v>
      </c>
      <c r="H93">
        <v>12000</v>
      </c>
      <c r="I93">
        <v>120000</v>
      </c>
      <c r="J93" s="1" t="s">
        <v>28</v>
      </c>
      <c r="K93">
        <v>12</v>
      </c>
      <c r="L93" s="1" t="s">
        <v>68</v>
      </c>
    </row>
    <row r="94" spans="1:12" x14ac:dyDescent="0.3">
      <c r="A94" s="1" t="s">
        <v>140</v>
      </c>
      <c r="B94" s="2">
        <v>45446</v>
      </c>
      <c r="C94" s="1" t="s">
        <v>51</v>
      </c>
      <c r="D94" s="1" t="s">
        <v>14</v>
      </c>
      <c r="E94" s="1" t="s">
        <v>57</v>
      </c>
      <c r="F94" s="1" t="s">
        <v>58</v>
      </c>
      <c r="G94">
        <v>5</v>
      </c>
      <c r="H94">
        <v>65000</v>
      </c>
      <c r="I94">
        <v>325000</v>
      </c>
      <c r="J94" s="1" t="s">
        <v>41</v>
      </c>
      <c r="K94">
        <v>6</v>
      </c>
      <c r="L94" s="1" t="s">
        <v>39</v>
      </c>
    </row>
    <row r="95" spans="1:12" x14ac:dyDescent="0.3">
      <c r="A95" s="1" t="s">
        <v>141</v>
      </c>
      <c r="B95" s="2">
        <v>45399</v>
      </c>
      <c r="C95" s="1" t="s">
        <v>51</v>
      </c>
      <c r="D95" s="1" t="s">
        <v>48</v>
      </c>
      <c r="E95" s="1" t="s">
        <v>52</v>
      </c>
      <c r="F95" s="1" t="s">
        <v>27</v>
      </c>
      <c r="G95">
        <v>8</v>
      </c>
      <c r="H95">
        <v>125000</v>
      </c>
      <c r="I95">
        <v>1000000</v>
      </c>
      <c r="J95" s="1" t="s">
        <v>60</v>
      </c>
      <c r="K95">
        <v>4</v>
      </c>
      <c r="L95" s="1" t="s">
        <v>49</v>
      </c>
    </row>
    <row r="96" spans="1:12" x14ac:dyDescent="0.3">
      <c r="A96" s="1" t="s">
        <v>142</v>
      </c>
      <c r="B96" s="2">
        <v>45518</v>
      </c>
      <c r="C96" s="1" t="s">
        <v>20</v>
      </c>
      <c r="D96" s="1" t="s">
        <v>25</v>
      </c>
      <c r="E96" s="1" t="s">
        <v>15</v>
      </c>
      <c r="F96" s="1" t="s">
        <v>16</v>
      </c>
      <c r="G96">
        <v>3</v>
      </c>
      <c r="H96">
        <v>45000</v>
      </c>
      <c r="I96">
        <v>135000</v>
      </c>
      <c r="J96" s="1" t="s">
        <v>81</v>
      </c>
      <c r="K96">
        <v>8</v>
      </c>
      <c r="L96" s="1" t="s">
        <v>49</v>
      </c>
    </row>
    <row r="97" spans="1:12" x14ac:dyDescent="0.3">
      <c r="A97" s="1" t="s">
        <v>143</v>
      </c>
      <c r="B97" s="2">
        <v>45629</v>
      </c>
      <c r="C97" s="1" t="s">
        <v>13</v>
      </c>
      <c r="D97" s="1" t="s">
        <v>48</v>
      </c>
      <c r="E97" s="1" t="s">
        <v>31</v>
      </c>
      <c r="F97" s="1" t="s">
        <v>16</v>
      </c>
      <c r="G97">
        <v>10</v>
      </c>
      <c r="H97">
        <v>12000</v>
      </c>
      <c r="I97">
        <v>120000</v>
      </c>
      <c r="J97" s="1" t="s">
        <v>28</v>
      </c>
      <c r="K97">
        <v>12</v>
      </c>
      <c r="L97" s="1" t="s">
        <v>44</v>
      </c>
    </row>
    <row r="98" spans="1:12" x14ac:dyDescent="0.3">
      <c r="A98" s="1" t="s">
        <v>144</v>
      </c>
      <c r="B98" s="2">
        <v>45463</v>
      </c>
      <c r="C98" s="1" t="s">
        <v>13</v>
      </c>
      <c r="D98" s="1" t="s">
        <v>21</v>
      </c>
      <c r="E98" s="1" t="s">
        <v>15</v>
      </c>
      <c r="F98" s="1" t="s">
        <v>16</v>
      </c>
      <c r="G98">
        <v>5</v>
      </c>
      <c r="H98">
        <v>45000</v>
      </c>
      <c r="I98">
        <v>225000</v>
      </c>
      <c r="J98" s="1" t="s">
        <v>41</v>
      </c>
      <c r="K98">
        <v>6</v>
      </c>
      <c r="L98" s="1" t="s">
        <v>29</v>
      </c>
    </row>
    <row r="99" spans="1:12" x14ac:dyDescent="0.3">
      <c r="A99" s="1" t="s">
        <v>145</v>
      </c>
      <c r="B99" s="2">
        <v>45407</v>
      </c>
      <c r="C99" s="1" t="s">
        <v>20</v>
      </c>
      <c r="D99" s="1" t="s">
        <v>21</v>
      </c>
      <c r="E99" s="1" t="s">
        <v>26</v>
      </c>
      <c r="F99" s="1" t="s">
        <v>27</v>
      </c>
      <c r="G99">
        <v>1</v>
      </c>
      <c r="H99">
        <v>185000</v>
      </c>
      <c r="I99">
        <v>185000</v>
      </c>
      <c r="J99" s="1" t="s">
        <v>60</v>
      </c>
      <c r="K99">
        <v>4</v>
      </c>
      <c r="L99" s="1" t="s">
        <v>29</v>
      </c>
    </row>
    <row r="100" spans="1:12" x14ac:dyDescent="0.3">
      <c r="A100" s="1" t="s">
        <v>146</v>
      </c>
      <c r="B100" s="2">
        <v>45417</v>
      </c>
      <c r="C100" s="1" t="s">
        <v>51</v>
      </c>
      <c r="D100" s="1" t="s">
        <v>14</v>
      </c>
      <c r="E100" s="1" t="s">
        <v>52</v>
      </c>
      <c r="F100" s="1" t="s">
        <v>27</v>
      </c>
      <c r="G100">
        <v>7</v>
      </c>
      <c r="H100">
        <v>125000</v>
      </c>
      <c r="I100">
        <v>875000</v>
      </c>
      <c r="J100" s="1" t="s">
        <v>22</v>
      </c>
      <c r="K100">
        <v>5</v>
      </c>
      <c r="L100" s="1" t="s">
        <v>23</v>
      </c>
    </row>
    <row r="101" spans="1:12" x14ac:dyDescent="0.3">
      <c r="A101" s="1" t="s">
        <v>147</v>
      </c>
      <c r="B101" s="2">
        <v>45614</v>
      </c>
      <c r="C101" s="1" t="s">
        <v>20</v>
      </c>
      <c r="D101" s="1" t="s">
        <v>25</v>
      </c>
      <c r="E101" s="1" t="s">
        <v>52</v>
      </c>
      <c r="F101" s="1" t="s">
        <v>27</v>
      </c>
      <c r="G101">
        <v>7</v>
      </c>
      <c r="H101">
        <v>125000</v>
      </c>
      <c r="I101">
        <v>875000</v>
      </c>
      <c r="J101" s="1" t="s">
        <v>17</v>
      </c>
      <c r="K101">
        <v>11</v>
      </c>
      <c r="L101" s="1" t="s">
        <v>39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4BC45-3C40-4EC6-BF78-D64F646D5A4D}">
  <dimension ref="C17"/>
  <sheetViews>
    <sheetView showGridLines="0" tabSelected="1" topLeftCell="A3" workbookViewId="0">
      <selection activeCell="T10" sqref="T10"/>
    </sheetView>
  </sheetViews>
  <sheetFormatPr defaultRowHeight="14.4" x14ac:dyDescent="0.3"/>
  <sheetData>
    <row r="17" spans="3:3" x14ac:dyDescent="0.3">
      <c r="C17" s="9"/>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N41"/>
  <sheetViews>
    <sheetView topLeftCell="A4" workbookViewId="0">
      <selection activeCell="C17" sqref="C17"/>
    </sheetView>
  </sheetViews>
  <sheetFormatPr defaultRowHeight="14.4" x14ac:dyDescent="0.3"/>
  <cols>
    <col min="2" max="2" width="12.5546875" bestFit="1" customWidth="1"/>
    <col min="3" max="3" width="13.77734375" bestFit="1" customWidth="1"/>
    <col min="4" max="4" width="11" bestFit="1" customWidth="1"/>
    <col min="5" max="5" width="12.5546875" bestFit="1" customWidth="1"/>
    <col min="6" max="6" width="13.77734375" bestFit="1" customWidth="1"/>
    <col min="8" max="8" width="12.5546875" bestFit="1" customWidth="1"/>
    <col min="9" max="9" width="13.77734375" bestFit="1" customWidth="1"/>
    <col min="11" max="11" width="12.5546875" bestFit="1" customWidth="1"/>
    <col min="12" max="12" width="13.77734375" bestFit="1" customWidth="1"/>
    <col min="13" max="13" width="11" bestFit="1" customWidth="1"/>
  </cols>
  <sheetData>
    <row r="2" spans="2:12" x14ac:dyDescent="0.3">
      <c r="K2" t="s">
        <v>154</v>
      </c>
    </row>
    <row r="3" spans="2:12" x14ac:dyDescent="0.3">
      <c r="B3" t="s">
        <v>150</v>
      </c>
      <c r="C3" t="s">
        <v>155</v>
      </c>
      <c r="D3" t="s">
        <v>156</v>
      </c>
      <c r="E3" t="s">
        <v>158</v>
      </c>
      <c r="K3" s="3" t="s">
        <v>148</v>
      </c>
      <c r="L3" t="s">
        <v>150</v>
      </c>
    </row>
    <row r="4" spans="2:12" x14ac:dyDescent="0.3">
      <c r="B4" s="5">
        <v>45113000</v>
      </c>
      <c r="C4" s="7">
        <v>542</v>
      </c>
      <c r="D4" s="7">
        <v>100</v>
      </c>
      <c r="K4" s="4" t="s">
        <v>26</v>
      </c>
      <c r="L4" s="5">
        <v>15170000</v>
      </c>
    </row>
    <row r="5" spans="2:12" x14ac:dyDescent="0.3">
      <c r="B5" s="5">
        <f>B4</f>
        <v>45113000</v>
      </c>
      <c r="C5" s="1">
        <f t="shared" ref="C5:D5" si="0">C4</f>
        <v>542</v>
      </c>
      <c r="D5" s="1">
        <f t="shared" si="0"/>
        <v>100</v>
      </c>
      <c r="E5" s="8">
        <f>B5/C5</f>
        <v>83234.317343173432</v>
      </c>
      <c r="K5" s="4" t="s">
        <v>34</v>
      </c>
      <c r="L5" s="5">
        <v>10370000</v>
      </c>
    </row>
    <row r="6" spans="2:12" x14ac:dyDescent="0.3">
      <c r="K6" s="4" t="s">
        <v>52</v>
      </c>
      <c r="L6" s="5">
        <v>8875000</v>
      </c>
    </row>
    <row r="7" spans="2:12" x14ac:dyDescent="0.3">
      <c r="K7" s="4" t="s">
        <v>57</v>
      </c>
      <c r="L7" s="5">
        <v>5265000</v>
      </c>
    </row>
    <row r="8" spans="2:12" x14ac:dyDescent="0.3">
      <c r="K8" s="4" t="s">
        <v>15</v>
      </c>
      <c r="L8" s="5">
        <v>4365000</v>
      </c>
    </row>
    <row r="9" spans="2:12" x14ac:dyDescent="0.3">
      <c r="K9" s="4" t="s">
        <v>31</v>
      </c>
      <c r="L9" s="5">
        <v>1068000</v>
      </c>
    </row>
    <row r="10" spans="2:12" x14ac:dyDescent="0.3">
      <c r="K10" s="4" t="s">
        <v>149</v>
      </c>
      <c r="L10" s="5">
        <v>45113000</v>
      </c>
    </row>
    <row r="12" spans="2:12" x14ac:dyDescent="0.3">
      <c r="B12" t="s">
        <v>151</v>
      </c>
    </row>
    <row r="13" spans="2:12" x14ac:dyDescent="0.3">
      <c r="B13" s="3" t="s">
        <v>148</v>
      </c>
      <c r="C13" t="s">
        <v>150</v>
      </c>
      <c r="K13" t="s">
        <v>157</v>
      </c>
    </row>
    <row r="14" spans="2:12" x14ac:dyDescent="0.3">
      <c r="B14" s="4" t="s">
        <v>13</v>
      </c>
      <c r="C14" s="5">
        <v>10207000</v>
      </c>
      <c r="K14" s="3" t="s">
        <v>148</v>
      </c>
      <c r="L14" t="s">
        <v>155</v>
      </c>
    </row>
    <row r="15" spans="2:12" x14ac:dyDescent="0.3">
      <c r="B15" s="4" t="s">
        <v>37</v>
      </c>
      <c r="C15" s="5">
        <v>14384000</v>
      </c>
      <c r="K15" s="4" t="s">
        <v>23</v>
      </c>
      <c r="L15" s="7">
        <v>105</v>
      </c>
    </row>
    <row r="16" spans="2:12" x14ac:dyDescent="0.3">
      <c r="B16" s="4" t="s">
        <v>51</v>
      </c>
      <c r="C16" s="5">
        <v>7452000</v>
      </c>
      <c r="K16" s="4" t="s">
        <v>39</v>
      </c>
      <c r="L16" s="7">
        <v>62</v>
      </c>
    </row>
    <row r="17" spans="2:14" x14ac:dyDescent="0.3">
      <c r="B17" s="4" t="s">
        <v>20</v>
      </c>
      <c r="C17" s="5">
        <v>13070000</v>
      </c>
      <c r="K17" s="4" t="s">
        <v>44</v>
      </c>
      <c r="L17" s="7">
        <v>98</v>
      </c>
    </row>
    <row r="18" spans="2:14" x14ac:dyDescent="0.3">
      <c r="B18" s="4" t="s">
        <v>149</v>
      </c>
      <c r="C18" s="5">
        <v>45113000</v>
      </c>
      <c r="K18" s="4" t="s">
        <v>49</v>
      </c>
      <c r="L18" s="7">
        <v>49</v>
      </c>
    </row>
    <row r="19" spans="2:14" x14ac:dyDescent="0.3">
      <c r="K19" s="4" t="s">
        <v>29</v>
      </c>
      <c r="L19" s="7">
        <v>75</v>
      </c>
    </row>
    <row r="20" spans="2:14" x14ac:dyDescent="0.3">
      <c r="B20" t="s">
        <v>152</v>
      </c>
      <c r="K20" s="4" t="s">
        <v>68</v>
      </c>
      <c r="L20" s="7">
        <v>53</v>
      </c>
    </row>
    <row r="21" spans="2:14" x14ac:dyDescent="0.3">
      <c r="B21" s="3" t="s">
        <v>148</v>
      </c>
      <c r="C21" t="s">
        <v>150</v>
      </c>
      <c r="K21" s="4" t="s">
        <v>18</v>
      </c>
      <c r="L21" s="7">
        <v>100</v>
      </c>
    </row>
    <row r="22" spans="2:14" x14ac:dyDescent="0.3">
      <c r="B22" s="4" t="s">
        <v>27</v>
      </c>
      <c r="C22" s="5">
        <v>34415000</v>
      </c>
      <c r="K22" s="4" t="s">
        <v>149</v>
      </c>
      <c r="L22" s="7">
        <v>542</v>
      </c>
    </row>
    <row r="23" spans="2:14" x14ac:dyDescent="0.3">
      <c r="B23" s="4" t="s">
        <v>16</v>
      </c>
      <c r="C23" s="5">
        <v>5433000</v>
      </c>
    </row>
    <row r="24" spans="2:14" x14ac:dyDescent="0.3">
      <c r="B24" s="4" t="s">
        <v>58</v>
      </c>
      <c r="C24" s="5">
        <v>5265000</v>
      </c>
    </row>
    <row r="25" spans="2:14" x14ac:dyDescent="0.3">
      <c r="B25" s="4" t="s">
        <v>149</v>
      </c>
      <c r="C25" s="5">
        <v>45113000</v>
      </c>
      <c r="K25" s="3" t="s">
        <v>148</v>
      </c>
      <c r="L25" t="s">
        <v>155</v>
      </c>
      <c r="M25" s="6" t="s">
        <v>148</v>
      </c>
      <c r="N25" s="6" t="s">
        <v>155</v>
      </c>
    </row>
    <row r="26" spans="2:14" x14ac:dyDescent="0.3">
      <c r="K26" s="4" t="s">
        <v>34</v>
      </c>
      <c r="L26" s="7">
        <v>122</v>
      </c>
      <c r="M26" s="4" t="s">
        <v>34</v>
      </c>
      <c r="N26" s="7">
        <v>122</v>
      </c>
    </row>
    <row r="27" spans="2:14" x14ac:dyDescent="0.3">
      <c r="B27" t="s">
        <v>153</v>
      </c>
      <c r="K27" s="4" t="s">
        <v>15</v>
      </c>
      <c r="L27" s="7">
        <v>97</v>
      </c>
      <c r="M27" s="4" t="s">
        <v>15</v>
      </c>
      <c r="N27" s="7">
        <v>97</v>
      </c>
    </row>
    <row r="28" spans="2:14" x14ac:dyDescent="0.3">
      <c r="B28" s="3" t="s">
        <v>148</v>
      </c>
      <c r="C28" t="s">
        <v>150</v>
      </c>
      <c r="K28" s="4" t="s">
        <v>31</v>
      </c>
      <c r="L28" s="7">
        <v>89</v>
      </c>
      <c r="M28" s="4" t="s">
        <v>31</v>
      </c>
      <c r="N28" s="7">
        <v>89</v>
      </c>
    </row>
    <row r="29" spans="2:14" x14ac:dyDescent="0.3">
      <c r="B29" s="4" t="s">
        <v>60</v>
      </c>
      <c r="C29" s="5">
        <v>4295000</v>
      </c>
      <c r="K29" s="4" t="s">
        <v>26</v>
      </c>
      <c r="L29" s="7">
        <v>82</v>
      </c>
      <c r="M29" s="4" t="s">
        <v>26</v>
      </c>
      <c r="N29" s="7">
        <v>82</v>
      </c>
    </row>
    <row r="30" spans="2:14" x14ac:dyDescent="0.3">
      <c r="B30" s="4" t="s">
        <v>81</v>
      </c>
      <c r="C30" s="5">
        <v>5490000</v>
      </c>
      <c r="K30" s="4" t="s">
        <v>57</v>
      </c>
      <c r="L30" s="7">
        <v>81</v>
      </c>
      <c r="M30" s="4" t="s">
        <v>57</v>
      </c>
      <c r="N30" s="7">
        <v>81</v>
      </c>
    </row>
    <row r="31" spans="2:14" x14ac:dyDescent="0.3">
      <c r="B31" s="4" t="s">
        <v>28</v>
      </c>
      <c r="C31" s="5">
        <v>4898000</v>
      </c>
      <c r="K31" s="4" t="s">
        <v>52</v>
      </c>
      <c r="L31" s="7">
        <v>71</v>
      </c>
      <c r="M31" s="4" t="s">
        <v>52</v>
      </c>
      <c r="N31" s="7">
        <v>71</v>
      </c>
    </row>
    <row r="32" spans="2:14" x14ac:dyDescent="0.3">
      <c r="B32" s="4" t="s">
        <v>32</v>
      </c>
      <c r="C32" s="5">
        <v>5920000</v>
      </c>
      <c r="K32" s="4" t="s">
        <v>149</v>
      </c>
      <c r="L32" s="7">
        <v>542</v>
      </c>
      <c r="M32" t="s">
        <v>149</v>
      </c>
      <c r="N32">
        <v>542</v>
      </c>
    </row>
    <row r="33" spans="2:3" x14ac:dyDescent="0.3">
      <c r="B33" s="4" t="s">
        <v>35</v>
      </c>
      <c r="C33" s="5">
        <v>2247000</v>
      </c>
    </row>
    <row r="34" spans="2:3" x14ac:dyDescent="0.3">
      <c r="B34" s="4" t="s">
        <v>64</v>
      </c>
      <c r="C34" s="5">
        <v>4222000</v>
      </c>
    </row>
    <row r="35" spans="2:3" x14ac:dyDescent="0.3">
      <c r="B35" s="4" t="s">
        <v>41</v>
      </c>
      <c r="C35" s="5">
        <v>4330000</v>
      </c>
    </row>
    <row r="36" spans="2:3" x14ac:dyDescent="0.3">
      <c r="B36" s="4" t="s">
        <v>54</v>
      </c>
      <c r="C36" s="5">
        <v>2915000</v>
      </c>
    </row>
    <row r="37" spans="2:3" x14ac:dyDescent="0.3">
      <c r="B37" s="4" t="s">
        <v>22</v>
      </c>
      <c r="C37" s="5">
        <v>4269000</v>
      </c>
    </row>
    <row r="38" spans="2:3" x14ac:dyDescent="0.3">
      <c r="B38" s="4" t="s">
        <v>17</v>
      </c>
      <c r="C38" s="5">
        <v>1855000</v>
      </c>
    </row>
    <row r="39" spans="2:3" x14ac:dyDescent="0.3">
      <c r="B39" s="4" t="s">
        <v>38</v>
      </c>
      <c r="C39" s="5">
        <v>4124000</v>
      </c>
    </row>
    <row r="40" spans="2:3" x14ac:dyDescent="0.3">
      <c r="B40" s="4" t="s">
        <v>109</v>
      </c>
      <c r="C40" s="5">
        <v>548000</v>
      </c>
    </row>
    <row r="41" spans="2:3" x14ac:dyDescent="0.3">
      <c r="B41" s="4" t="s">
        <v>149</v>
      </c>
      <c r="C41" s="5">
        <v>45113000</v>
      </c>
    </row>
  </sheetData>
  <pageMargins left="0.7" right="0.7" top="0.75" bottom="0.75" header="0.3" footer="0.3"/>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C7C2B68D-A28F-41F6-A6BF-8853A5CF7893}">
  <ds:schemaRefs>
    <ds:schemaRef ds:uri="http://schemas.microsoft.com/DataMashup"/>
  </ds:schemaRefs>
</ds:datastoreItem>
</file>

<file path=customXml/itemProps2.xml><?xml version="1.0" encoding="utf-8"?>
<ds:datastoreItem xmlns:ds="http://schemas.openxmlformats.org/officeDocument/2006/customXml" ds:itemID="{C737577D-42DA-48AE-9F48-864BE6CCBC2E}">
  <ds:schemaRefs/>
</ds:datastoreItem>
</file>

<file path=customXml/itemProps3.xml><?xml version="1.0" encoding="utf-8"?>
<ds:datastoreItem xmlns:ds="http://schemas.openxmlformats.org/officeDocument/2006/customXml" ds:itemID="{71D3FBDB-888B-4C84-B6B7-8B5347258075}">
  <ds:schemaRefs/>
</ds:datastoreItem>
</file>

<file path=customXml/itemProps4.xml><?xml version="1.0" encoding="utf-8"?>
<ds:datastoreItem xmlns:ds="http://schemas.openxmlformats.org/officeDocument/2006/customXml" ds:itemID="{C122C4D2-2004-4C44-9B7A-F2CF3965AA9B}">
  <ds:schemaRefs/>
</ds:datastoreItem>
</file>

<file path=customXml/itemProps5.xml><?xml version="1.0" encoding="utf-8"?>
<ds:datastoreItem xmlns:ds="http://schemas.openxmlformats.org/officeDocument/2006/customXml" ds:itemID="{F38C62D7-A786-42F8-A008-69B6C585623C}">
  <ds:schemaRefs/>
</ds:datastoreItem>
</file>

<file path=customXml/itemProps6.xml><?xml version="1.0" encoding="utf-8"?>
<ds:datastoreItem xmlns:ds="http://schemas.openxmlformats.org/officeDocument/2006/customXml" ds:itemID="{D1594BF3-5509-4889-96FD-5475A7C1CD87}">
  <ds:schemaRefs/>
</ds:datastoreItem>
</file>

<file path=customXml/itemProps7.xml><?xml version="1.0" encoding="utf-8"?>
<ds:datastoreItem xmlns:ds="http://schemas.openxmlformats.org/officeDocument/2006/customXml" ds:itemID="{346DE276-EFC1-4CAA-BA7B-25E275F1C5C1}">
  <ds:schemaRefs/>
</ds:datastoreItem>
</file>

<file path=customXml/itemProps8.xml><?xml version="1.0" encoding="utf-8"?>
<ds:datastoreItem xmlns:ds="http://schemas.openxmlformats.org/officeDocument/2006/customXml" ds:itemID="{BE4D6EE6-7262-4F4D-93C6-872EA2538F32}">
  <ds:schemaRefs/>
</ds:datastoreItem>
</file>

<file path=customXml/itemProps9.xml><?xml version="1.0" encoding="utf-8"?>
<ds:datastoreItem xmlns:ds="http://schemas.openxmlformats.org/officeDocument/2006/customXml" ds:itemID="{B09E69C4-8777-4550-B516-3AEFC14B4DD0}">
  <ds:schemaRefs/>
</ds:datastoreItem>
</file>

<file path=customXml/itemProps10.xml><?xml version="1.0" encoding="utf-8"?>
<ds:datastoreItem xmlns:ds="http://schemas.openxmlformats.org/officeDocument/2006/customXml" ds:itemID="{ADD37F7E-07E9-4C25-A6B7-DB48AF128FDE}">
  <ds:schemaRefs/>
</ds:datastoreItem>
</file>

<file path=customXml/itemProps11.xml><?xml version="1.0" encoding="utf-8"?>
<ds:datastoreItem xmlns:ds="http://schemas.openxmlformats.org/officeDocument/2006/customXml" ds:itemID="{E8F61152-7C2B-40DF-B37F-6B918202EC91}">
  <ds:schemaRefs/>
</ds:datastoreItem>
</file>

<file path=customXml/itemProps12.xml><?xml version="1.0" encoding="utf-8"?>
<ds:datastoreItem xmlns:ds="http://schemas.openxmlformats.org/officeDocument/2006/customXml" ds:itemID="{BE6AABA2-A18F-4FEF-BBE2-065508C6EF75}">
  <ds:schemaRefs/>
</ds:datastoreItem>
</file>

<file path=customXml/itemProps13.xml><?xml version="1.0" encoding="utf-8"?>
<ds:datastoreItem xmlns:ds="http://schemas.openxmlformats.org/officeDocument/2006/customXml" ds:itemID="{2B13CE4F-F203-4089-887B-1426B50B7555}">
  <ds:schemaRefs/>
</ds:datastoreItem>
</file>

<file path=customXml/itemProps14.xml><?xml version="1.0" encoding="utf-8"?>
<ds:datastoreItem xmlns:ds="http://schemas.openxmlformats.org/officeDocument/2006/customXml" ds:itemID="{8CEDD985-D4BE-479A-B028-FB9222CB021D}">
  <ds:schemaRefs/>
</ds:datastoreItem>
</file>

<file path=customXml/itemProps15.xml><?xml version="1.0" encoding="utf-8"?>
<ds:datastoreItem xmlns:ds="http://schemas.openxmlformats.org/officeDocument/2006/customXml" ds:itemID="{0314F9DD-AA6D-409E-8F0C-472C3B739118}">
  <ds:schemaRefs/>
</ds:datastoreItem>
</file>

<file path=customXml/itemProps16.xml><?xml version="1.0" encoding="utf-8"?>
<ds:datastoreItem xmlns:ds="http://schemas.openxmlformats.org/officeDocument/2006/customXml" ds:itemID="{521D602A-88E1-488F-8578-74522C5890AC}">
  <ds:schemaRefs/>
</ds:datastoreItem>
</file>

<file path=customXml/itemProps17.xml><?xml version="1.0" encoding="utf-8"?>
<ds:datastoreItem xmlns:ds="http://schemas.openxmlformats.org/officeDocument/2006/customXml" ds:itemID="{A9381E1D-0581-4131-990B-2BFBCD62ED78}">
  <ds:schemaRefs/>
</ds:datastoreItem>
</file>

<file path=customXml/itemProps18.xml><?xml version="1.0" encoding="utf-8"?>
<ds:datastoreItem xmlns:ds="http://schemas.openxmlformats.org/officeDocument/2006/customXml" ds:itemID="{24D5257C-E490-401F-8929-7493FEE1235A}">
  <ds:schemaRefs/>
</ds:datastoreItem>
</file>

<file path=customXml/itemProps19.xml><?xml version="1.0" encoding="utf-8"?>
<ds:datastoreItem xmlns:ds="http://schemas.openxmlformats.org/officeDocument/2006/customXml" ds:itemID="{45A70316-6FCF-4960-A776-473C104FA1F4}">
  <ds:schemaRefs/>
</ds:datastoreItem>
</file>

<file path=customXml/itemProps20.xml><?xml version="1.0" encoding="utf-8"?>
<ds:datastoreItem xmlns:ds="http://schemas.openxmlformats.org/officeDocument/2006/customXml" ds:itemID="{7AF7E75E-C14B-468E-B35A-4B532C35E82E}">
  <ds:schemaRefs/>
</ds:datastoreItem>
</file>

<file path=customXml/itemProps21.xml><?xml version="1.0" encoding="utf-8"?>
<ds:datastoreItem xmlns:ds="http://schemas.openxmlformats.org/officeDocument/2006/customXml" ds:itemID="{6360A114-45F2-4975-AA73-65324C7A527C}">
  <ds:schemaRefs/>
</ds:datastoreItem>
</file>

<file path=customXml/itemProps22.xml><?xml version="1.0" encoding="utf-8"?>
<ds:datastoreItem xmlns:ds="http://schemas.openxmlformats.org/officeDocument/2006/customXml" ds:itemID="{4AE330FC-EAC4-4D8C-997C-816D95629CE2}">
  <ds:schemaRefs/>
</ds:datastoreItem>
</file>

<file path=customXml/itemProps23.xml><?xml version="1.0" encoding="utf-8"?>
<ds:datastoreItem xmlns:ds="http://schemas.openxmlformats.org/officeDocument/2006/customXml" ds:itemID="{AF73E88E-CF63-4FA1-9AF2-FDE9C6B43B03}">
  <ds:schemaRefs/>
</ds:datastoreItem>
</file>

<file path=customXml/itemProps24.xml><?xml version="1.0" encoding="utf-8"?>
<ds:datastoreItem xmlns:ds="http://schemas.openxmlformats.org/officeDocument/2006/customXml" ds:itemID="{5D3BD3C1-3F3F-4D3D-A217-5F905B0D27E5}">
  <ds:schemaRefs/>
</ds:datastoreItem>
</file>

<file path=customXml/itemProps25.xml><?xml version="1.0" encoding="utf-8"?>
<ds:datastoreItem xmlns:ds="http://schemas.openxmlformats.org/officeDocument/2006/customXml" ds:itemID="{6C5E5464-137B-44BF-853C-6C47EFFC79C3}">
  <ds:schemaRefs/>
</ds:datastoreItem>
</file>

<file path=customXml/itemProps26.xml><?xml version="1.0" encoding="utf-8"?>
<ds:datastoreItem xmlns:ds="http://schemas.openxmlformats.org/officeDocument/2006/customXml" ds:itemID="{DC765FCB-66C0-4226-96DF-ED09FC7AB5D1}">
  <ds:schemaRefs/>
</ds:datastoreItem>
</file>

<file path=customXml/itemProps27.xml><?xml version="1.0" encoding="utf-8"?>
<ds:datastoreItem xmlns:ds="http://schemas.openxmlformats.org/officeDocument/2006/customXml" ds:itemID="{616E2BDE-7C6F-4659-9DFB-938746144114}">
  <ds:schemaRefs/>
</ds:datastoreItem>
</file>

<file path=customXml/itemProps28.xml><?xml version="1.0" encoding="utf-8"?>
<ds:datastoreItem xmlns:ds="http://schemas.openxmlformats.org/officeDocument/2006/customXml" ds:itemID="{9E7CBB67-05B2-4373-B431-FB4963E6289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RetailSalesData_100rows</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supun chanaka</dc:creator>
  <cp:lastModifiedBy>supun chanaka</cp:lastModifiedBy>
  <dcterms:created xsi:type="dcterms:W3CDTF">2015-06-05T18:17:20Z</dcterms:created>
  <dcterms:modified xsi:type="dcterms:W3CDTF">2025-12-26T18:23:23Z</dcterms:modified>
</cp:coreProperties>
</file>